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iend\OneDrive\Desktop\"/>
    </mc:Choice>
  </mc:AlternateContent>
  <bookViews>
    <workbookView xWindow="0" yWindow="0" windowWidth="21570" windowHeight="7875"/>
  </bookViews>
  <sheets>
    <sheet name="TABLA" sheetId="4" r:id="rId1"/>
    <sheet name="GRAMAJE" sheetId="3" r:id="rId2"/>
    <sheet name="INVENTARIO T5" sheetId="1" r:id="rId3"/>
    <sheet name="Hoja2" sheetId="2" r:id="rId4"/>
  </sheets>
  <definedNames>
    <definedName name="_xlnm._FilterDatabase" localSheetId="1" hidden="1">GRAMAJE!$A$1:$C$1</definedName>
    <definedName name="_xlnm._FilterDatabase" localSheetId="3" hidden="1">Hoja2!$E$1:$G$54</definedName>
    <definedName name="_xlnm._FilterDatabase" localSheetId="2" hidden="1">'INVENTARIO T5'!$A$1:$D$431</definedName>
    <definedName name="_xlnm._FilterDatabase" localSheetId="0" hidden="1">TABLA!$A$1:$E$68</definedName>
  </definedNames>
  <calcPr calcId="162913"/>
  <pivotCaches>
    <pivotCache cacheId="11" r:id="rId5"/>
  </pivotCaches>
</workbook>
</file>

<file path=xl/calcChain.xml><?xml version="1.0" encoding="utf-8"?>
<calcChain xmlns="http://schemas.openxmlformats.org/spreadsheetml/2006/main">
  <c r="E32" i="4" l="1"/>
  <c r="E31" i="4"/>
  <c r="E68" i="4"/>
  <c r="E64" i="4"/>
  <c r="E4" i="4"/>
  <c r="B49" i="4"/>
  <c r="B38" i="4"/>
  <c r="B29" i="4"/>
  <c r="E2" i="4" l="1"/>
  <c r="E67" i="4"/>
  <c r="E66" i="4"/>
  <c r="E65" i="4"/>
  <c r="E63" i="4"/>
  <c r="E62" i="4"/>
  <c r="E61" i="4"/>
  <c r="E60" i="4"/>
  <c r="E59" i="4"/>
  <c r="E58" i="4"/>
  <c r="E57" i="4"/>
  <c r="E56" i="4"/>
  <c r="E55" i="4"/>
  <c r="E3" i="4"/>
  <c r="E5" i="4"/>
  <c r="E8" i="4"/>
  <c r="E9" i="4"/>
  <c r="E10" i="4"/>
  <c r="E11" i="4"/>
  <c r="E12" i="4"/>
  <c r="E13" i="4"/>
  <c r="E14" i="4"/>
  <c r="E19" i="4"/>
  <c r="E15" i="4"/>
  <c r="E16" i="4"/>
  <c r="E17" i="4"/>
  <c r="E18" i="4"/>
  <c r="E20" i="4"/>
  <c r="E21" i="4"/>
  <c r="E22" i="4"/>
  <c r="E23" i="4"/>
  <c r="E24" i="4"/>
  <c r="E25" i="4"/>
  <c r="E26" i="4"/>
  <c r="E27" i="4"/>
  <c r="E28" i="4"/>
  <c r="E30" i="4"/>
  <c r="E33" i="4"/>
  <c r="E34" i="4"/>
  <c r="E35" i="4"/>
  <c r="E36" i="4"/>
  <c r="E37" i="4"/>
  <c r="E39" i="4"/>
  <c r="E40" i="4"/>
  <c r="E41" i="4"/>
  <c r="E42" i="4"/>
  <c r="E43" i="4"/>
  <c r="E44" i="4"/>
  <c r="E46" i="4"/>
  <c r="E47" i="4"/>
  <c r="E48" i="4"/>
  <c r="E50" i="4"/>
  <c r="E51" i="4"/>
  <c r="E52" i="4"/>
  <c r="E53" i="4"/>
  <c r="E54" i="4"/>
</calcChain>
</file>

<file path=xl/sharedStrings.xml><?xml version="1.0" encoding="utf-8"?>
<sst xmlns="http://schemas.openxmlformats.org/spreadsheetml/2006/main" count="1682" uniqueCount="1081">
  <si>
    <t>2000100800258</t>
  </si>
  <si>
    <t>BRUSH SB PROMOCION KILO</t>
  </si>
  <si>
    <t>2000100800018</t>
  </si>
  <si>
    <t>BRUSH X KILO AMARILLO BEBE C#55</t>
  </si>
  <si>
    <t>2000100800037</t>
  </si>
  <si>
    <t>BRUSH X KILO AMARILLO COLOMBIA #36</t>
  </si>
  <si>
    <t>2000100800296</t>
  </si>
  <si>
    <t>BRUSH X KILO AMARILLO NEON CN#5</t>
  </si>
  <si>
    <t>2000100800025</t>
  </si>
  <si>
    <t>BRUSH X KILO ARABESCO C#78</t>
  </si>
  <si>
    <t>2000100800039</t>
  </si>
  <si>
    <t>BRUSH X KILO AZUL CIELO C#45</t>
  </si>
  <si>
    <t>2000100800386</t>
  </si>
  <si>
    <t>BRUSH X KILO AZUL OSCURO C#21</t>
  </si>
  <si>
    <t>2000100800022</t>
  </si>
  <si>
    <t>BRUSH X KILO AZUL PETROLEO C#22</t>
  </si>
  <si>
    <t>2000100800280</t>
  </si>
  <si>
    <t>2000100800029</t>
  </si>
  <si>
    <t>BRUSH X KILO AZUL REY C#19</t>
  </si>
  <si>
    <t>2000100800005</t>
  </si>
  <si>
    <t>BRUSH X KILO BLANCO C#24</t>
  </si>
  <si>
    <t>2000100800020</t>
  </si>
  <si>
    <t>BRUSH X KILO CAFE CON LECHE C#112</t>
  </si>
  <si>
    <t>2000100800294</t>
  </si>
  <si>
    <t>BRUSH X KILO CORAL C#8</t>
  </si>
  <si>
    <t>2000100800028</t>
  </si>
  <si>
    <t>BRUSH X KILO CREMA DE LIMA C#78</t>
  </si>
  <si>
    <t>2000100800011</t>
  </si>
  <si>
    <t>BRUSH X KILO CRUDO PFD</t>
  </si>
  <si>
    <t>2000100800002</t>
  </si>
  <si>
    <t>BRUSH X KILO DARK MELANGE C#40</t>
  </si>
  <si>
    <t>2000100800030</t>
  </si>
  <si>
    <t>BRUSH X KILO FLOR DE DESIERTO C#74</t>
  </si>
  <si>
    <t>2000100800027</t>
  </si>
  <si>
    <t>BRUSH X KILO FUCSIA C#9</t>
  </si>
  <si>
    <t>2000100800040</t>
  </si>
  <si>
    <t>BRUSH X KILO GRIS CLARO C#54</t>
  </si>
  <si>
    <t>2000100800041</t>
  </si>
  <si>
    <t>BRUSH X KILO GRIS OSCURO C#46</t>
  </si>
  <si>
    <t>2000100800001</t>
  </si>
  <si>
    <t>BRUSH X KILO LIGHT MELANGE C#39</t>
  </si>
  <si>
    <t>2000100800042</t>
  </si>
  <si>
    <t>BRUSH X KILO LILA C#42</t>
  </si>
  <si>
    <t>2000100800014</t>
  </si>
  <si>
    <t>BRUSH X KILO LIMA BRUSH C#64</t>
  </si>
  <si>
    <t>2000100800026</t>
  </si>
  <si>
    <t>BRUSH X KILO MENTA OSCURO BRUSH C#63</t>
  </si>
  <si>
    <t>2000100800007</t>
  </si>
  <si>
    <t>BRUSH X KILO MOCHA C#71</t>
  </si>
  <si>
    <t>2000100800377</t>
  </si>
  <si>
    <t>BRUSH X KILO MOCHA CHOCOLATE C#77</t>
  </si>
  <si>
    <t>2000100800033</t>
  </si>
  <si>
    <t>BRUSH X KILO MOCHA MOUSSE C#79</t>
  </si>
  <si>
    <t>2000100800017</t>
  </si>
  <si>
    <t>BRUSH X KILO MORADO C#43</t>
  </si>
  <si>
    <t>2000100800004</t>
  </si>
  <si>
    <t>BRUSH X KILO MOSTAZA C#11</t>
  </si>
  <si>
    <t>2000100800031</t>
  </si>
  <si>
    <t>BRUSH X KILO MOSTAZA PICANTE C#81</t>
  </si>
  <si>
    <t>2000100800013</t>
  </si>
  <si>
    <t>BRUSH X KILO NARANJA BRUSH C#67</t>
  </si>
  <si>
    <t>2000100800010</t>
  </si>
  <si>
    <t>BRUSH X KILO NEGRO C#23</t>
  </si>
  <si>
    <t>2000100800006</t>
  </si>
  <si>
    <t>BRUSH X KILO PALO ROSA C#6</t>
  </si>
  <si>
    <t>2000100800036</t>
  </si>
  <si>
    <t>BRUSH X KILO PALO ROSA CLARO C#3</t>
  </si>
  <si>
    <t>2000100800038</t>
  </si>
  <si>
    <t>BRUSH X KILO ROJO BRILLANTE C#72</t>
  </si>
  <si>
    <t>2000100800009</t>
  </si>
  <si>
    <t>BRUSH X KILO ROJO C#18</t>
  </si>
  <si>
    <t>2000100800231</t>
  </si>
  <si>
    <t>BRUSH X KILO ROSA SUAVE C#75</t>
  </si>
  <si>
    <t>2000100800016</t>
  </si>
  <si>
    <t>BRUSH X KILO ROSADO C#1</t>
  </si>
  <si>
    <t>2000100800246</t>
  </si>
  <si>
    <t>BRUSH X KILO ROSADO NEON CN#6 BRUSH</t>
  </si>
  <si>
    <t>2000100800252</t>
  </si>
  <si>
    <t>BRUSH X KILO SUBLIMADO</t>
  </si>
  <si>
    <t>2000100800019</t>
  </si>
  <si>
    <t>BRUSH X KILO TAUPE DUST BRUSH C#69</t>
  </si>
  <si>
    <t>2000100800003</t>
  </si>
  <si>
    <t>BRUSH X KILO TERRACOTA C#52</t>
  </si>
  <si>
    <t>2000100800015</t>
  </si>
  <si>
    <t>BRUSH X KILO TURQUESA C#33</t>
  </si>
  <si>
    <t>2000100800021</t>
  </si>
  <si>
    <t>BRUSH X KILO UVA C#111</t>
  </si>
  <si>
    <t>2000100800034</t>
  </si>
  <si>
    <t>BRUSH X KILO VERDE CALI C#12</t>
  </si>
  <si>
    <t>2000100800032</t>
  </si>
  <si>
    <t>BRUSH X KILO VERDE IGUANA C#76</t>
  </si>
  <si>
    <t>2000100800035</t>
  </si>
  <si>
    <t>BRUSH X KILO VERDE MENTA C#34</t>
  </si>
  <si>
    <t>2000100800008</t>
  </si>
  <si>
    <t>BRUSH X KILO VERDE MILITAR C#15</t>
  </si>
  <si>
    <t>2000100800023</t>
  </si>
  <si>
    <t>BRUSH X KILO VERDE OLIVO C#44</t>
  </si>
  <si>
    <t>2000100800024</t>
  </si>
  <si>
    <t>BRUSH X KILO VERDE OSCURO C#14</t>
  </si>
  <si>
    <t>2000100800012</t>
  </si>
  <si>
    <t>BRUSH X KILO VINO TINTO C#30</t>
  </si>
  <si>
    <t>2000100800048</t>
  </si>
  <si>
    <t>KILO ACETATO AZUL CIELO C#45</t>
  </si>
  <si>
    <t>2000100800046</t>
  </si>
  <si>
    <t>KILO ACETATO AZUL REY C#19</t>
  </si>
  <si>
    <t>2000100800044</t>
  </si>
  <si>
    <t>KILO ACETATO BLANCO C#24</t>
  </si>
  <si>
    <t>2000100800043</t>
  </si>
  <si>
    <t>KILO ACETATO CRUDO PFD</t>
  </si>
  <si>
    <t>2000100800052</t>
  </si>
  <si>
    <t>KILO ACETATO GRIS CLARO C#54</t>
  </si>
  <si>
    <t>2000100800051</t>
  </si>
  <si>
    <t>KILO ACETATO GRIS OSCURO C#46</t>
  </si>
  <si>
    <t>2000100800047</t>
  </si>
  <si>
    <t>KILO ACETATO LILA C#42</t>
  </si>
  <si>
    <t>2000100800050</t>
  </si>
  <si>
    <t>KILO ACETATO MORADO C#43</t>
  </si>
  <si>
    <t>2000100800045</t>
  </si>
  <si>
    <t>KILO ACETATO NEGRO C#23</t>
  </si>
  <si>
    <t>2000100800049</t>
  </si>
  <si>
    <t>KILO ACETATO ROJO BRILLANTE C#72</t>
  </si>
  <si>
    <t>2000100800054</t>
  </si>
  <si>
    <t>KILO ANTIFLUIDO AZUL OSCURO C#21</t>
  </si>
  <si>
    <t>2000100800056</t>
  </si>
  <si>
    <t>KILO ANTIFLUIDO CORAL C#8</t>
  </si>
  <si>
    <t>2000100800053</t>
  </si>
  <si>
    <t>KILO ANTIFLUIDO CRUDO</t>
  </si>
  <si>
    <t>2000100800057</t>
  </si>
  <si>
    <t>KILO ANTIFLUIDO FUCSIA C#9</t>
  </si>
  <si>
    <t>2000100800254</t>
  </si>
  <si>
    <t>KILO ANTIFLUIDO LICRADO SUBLIMADO</t>
  </si>
  <si>
    <t>2000100800253</t>
  </si>
  <si>
    <t>KILO ANTIFLUIDO SUBLIMADO</t>
  </si>
  <si>
    <t>2000100800055</t>
  </si>
  <si>
    <t>KILO ANTIFLUIDO VERDE MILITAR C#15</t>
  </si>
  <si>
    <t>2000100800297</t>
  </si>
  <si>
    <t>KILO CAMISETA PRO BLANCO C#24</t>
  </si>
  <si>
    <t>2000100800298</t>
  </si>
  <si>
    <t>KILO CAMISETA PRO NEGRO C#23</t>
  </si>
  <si>
    <t>2000100800299</t>
  </si>
  <si>
    <t>KILO CAMISETA PRO ROJO BRILLANTE C#72</t>
  </si>
  <si>
    <t>2000100800302</t>
  </si>
  <si>
    <t>KILO CAMISETA TERRY AZUL PETROLEO C#22</t>
  </si>
  <si>
    <t>2000100800301</t>
  </si>
  <si>
    <t>KILO CAMISETA TERRY BLANCO C#24</t>
  </si>
  <si>
    <t>2000100800306</t>
  </si>
  <si>
    <t>KILO CAMISETA TERRY CAFÉ C#20</t>
  </si>
  <si>
    <t>2000100800300</t>
  </si>
  <si>
    <t>KILO CAMISETA TERRY NEGRO C#23</t>
  </si>
  <si>
    <t>2000100800303</t>
  </si>
  <si>
    <t>KILO CAMISETA TERRY ROJO BRILLANTE C#72</t>
  </si>
  <si>
    <t>2000100800304</t>
  </si>
  <si>
    <t>KILO CAMISETA TERRY UVA C#111</t>
  </si>
  <si>
    <t>2000100800305</t>
  </si>
  <si>
    <t>KILO CAMISETA TERRY VERDE OLIVO C# 44</t>
  </si>
  <si>
    <t>2000100800059</t>
  </si>
  <si>
    <t>KILO CARTAGO AZUL OSCURO C#21</t>
  </si>
  <si>
    <t>2000100800058</t>
  </si>
  <si>
    <t>KILO CARTAGO AZUL REY C#19</t>
  </si>
  <si>
    <t>2000100800064</t>
  </si>
  <si>
    <t>KILO CARTAGO BLANCO C#24</t>
  </si>
  <si>
    <t>2000100800063</t>
  </si>
  <si>
    <t>KILO CARTAGO LIGHT MELANGE C#39</t>
  </si>
  <si>
    <t>2000100800060</t>
  </si>
  <si>
    <t>KILO CARTAGO MOCHA CHOCOLATE C#77</t>
  </si>
  <si>
    <t>2000100800061</t>
  </si>
  <si>
    <t>KILO CARTAGO TAUPE C#49</t>
  </si>
  <si>
    <t>2000100800062</t>
  </si>
  <si>
    <t>KILO CARTAGO VERDE OSCURO C#14</t>
  </si>
  <si>
    <t>2000100800070</t>
  </si>
  <si>
    <t>KILO CHIFON CREPE AGUA C#32</t>
  </si>
  <si>
    <t>2000100800080</t>
  </si>
  <si>
    <t>KILO CHIFON CREPE AMARILLO CLARO C#55</t>
  </si>
  <si>
    <t>2000100800072</t>
  </si>
  <si>
    <t>KILO CHIFON CREPE FUCSIA C#9</t>
  </si>
  <si>
    <t>2000100800081</t>
  </si>
  <si>
    <t>KILO CHIFON CREPE KAKI C#70</t>
  </si>
  <si>
    <t>2000100800071</t>
  </si>
  <si>
    <t>KILO CHIFON CREPE LIMA C#64</t>
  </si>
  <si>
    <t>2000100800078</t>
  </si>
  <si>
    <t>KILO CHIFON CREPE MENTA OSCURO C#63</t>
  </si>
  <si>
    <t>2000100800082</t>
  </si>
  <si>
    <t>KILO CHIFON CREPE MOCHA C#71</t>
  </si>
  <si>
    <t>2000100800076</t>
  </si>
  <si>
    <t>KILO CHIFON CREPE MORADO C#43</t>
  </si>
  <si>
    <t>2000100800069</t>
  </si>
  <si>
    <t>KILO CHIFON CREPE MOSTAZA C#11</t>
  </si>
  <si>
    <t>2000100800075</t>
  </si>
  <si>
    <t>KILO CHIFON CREPE NARANJA C#67</t>
  </si>
  <si>
    <t>2000100800067</t>
  </si>
  <si>
    <t>KILO CHIFON CREPE PALO ROSA C#6</t>
  </si>
  <si>
    <t>2000100800066</t>
  </si>
  <si>
    <t>KILO CHIFON CREPE ROJO C#18</t>
  </si>
  <si>
    <t>2000100800079</t>
  </si>
  <si>
    <t>KILO CHIFON CREPE ROSADO CLARO C#1</t>
  </si>
  <si>
    <t>2000100800077</t>
  </si>
  <si>
    <t>KILO CHIFON CREPE SILVER C#54</t>
  </si>
  <si>
    <t>2000100800065</t>
  </si>
  <si>
    <t>KILO CHIFON CREPE TERRACOTA C#52</t>
  </si>
  <si>
    <t>2000100800074</t>
  </si>
  <si>
    <t>KILO CHIFON CREPE TURQUESA C#33</t>
  </si>
  <si>
    <t>2000100800073</t>
  </si>
  <si>
    <t>KILO CHIFON CREPE VERDE MILITAR C#15</t>
  </si>
  <si>
    <t>2000100800068</t>
  </si>
  <si>
    <t>KILO CHIFON CREPE VINO TINTO C#30</t>
  </si>
  <si>
    <t>2000100800307</t>
  </si>
  <si>
    <t>KILO CHIRRIPO NEGRO C#23</t>
  </si>
  <si>
    <t>2000100800403</t>
  </si>
  <si>
    <t>KILO CONCHAL BLANCO C#24</t>
  </si>
  <si>
    <t>2000100800308</t>
  </si>
  <si>
    <t>KILO CONCHAL NEGRO C#23</t>
  </si>
  <si>
    <t>2000100800404</t>
  </si>
  <si>
    <t>KILO CONCHAL PALO ROSA C#6</t>
  </si>
  <si>
    <t>2000100800101</t>
  </si>
  <si>
    <t>KILO CREPE AGUA C#32</t>
  </si>
  <si>
    <t>2000100800105</t>
  </si>
  <si>
    <t>KILO CREPE AMARILLO BEBE C#55</t>
  </si>
  <si>
    <t>2000100800085</t>
  </si>
  <si>
    <t>KILO CREPE AZUL REY C#19</t>
  </si>
  <si>
    <t>2000100800093</t>
  </si>
  <si>
    <t>KILO CREPE BLANCO C#24</t>
  </si>
  <si>
    <t>2000100800095</t>
  </si>
  <si>
    <t>KILO CREPE FUCSIA C#9</t>
  </si>
  <si>
    <t>2000100800099</t>
  </si>
  <si>
    <t>KILO CREPE GRIS CLARO C#54</t>
  </si>
  <si>
    <t>2000100800086</t>
  </si>
  <si>
    <t>KILO CREPE KAKI C#70</t>
  </si>
  <si>
    <t>2000100800088</t>
  </si>
  <si>
    <t>KILO CREPE LILA C#42</t>
  </si>
  <si>
    <t>2000100800102</t>
  </si>
  <si>
    <t>KILO CREPE LIMA C#64</t>
  </si>
  <si>
    <t>2000100800090</t>
  </si>
  <si>
    <t>KILO CREPE MENTA OSCURO C#63</t>
  </si>
  <si>
    <t>2000100800097</t>
  </si>
  <si>
    <t>KILO CREPE MOCHA C#71</t>
  </si>
  <si>
    <t>2000100800098</t>
  </si>
  <si>
    <t>KILO CREPE MORADO C#43</t>
  </si>
  <si>
    <t>2000100800091</t>
  </si>
  <si>
    <t>KILO CREPE MOSTAZA C#11</t>
  </si>
  <si>
    <t>2000100800103</t>
  </si>
  <si>
    <t>KILO CREPE NARANJA C#67</t>
  </si>
  <si>
    <t>2000100800084</t>
  </si>
  <si>
    <t>KILO CREPE NEGRO C#23</t>
  </si>
  <si>
    <t>2000100800092</t>
  </si>
  <si>
    <t>KILO CREPE PALO ROSA C#6</t>
  </si>
  <si>
    <t>2000100800083</t>
  </si>
  <si>
    <t>KILO CREPE ROJO C#18</t>
  </si>
  <si>
    <t>2000100800100</t>
  </si>
  <si>
    <t>KILO CREPE ROSADO CLARO C#1</t>
  </si>
  <si>
    <t>2000100800096</t>
  </si>
  <si>
    <t>KILO CREPE TAUPE OSCURO C#69</t>
  </si>
  <si>
    <t>2000100800089</t>
  </si>
  <si>
    <t>KILO CREPE TERRACOTA C#52</t>
  </si>
  <si>
    <t>2000100800094</t>
  </si>
  <si>
    <t>KILO CREPE TURQUESA C#33</t>
  </si>
  <si>
    <t>2000100800087</t>
  </si>
  <si>
    <t>KILO CREPE VERDE MILITAR C#15</t>
  </si>
  <si>
    <t>2000100800104</t>
  </si>
  <si>
    <t>KILO CREPE VINO TINTO C#30</t>
  </si>
  <si>
    <t>2000100800408</t>
  </si>
  <si>
    <t>KILO DOMINICAL ESMERALDA</t>
  </si>
  <si>
    <t>2000100800410</t>
  </si>
  <si>
    <t>KILO DOMINICAL FUCSIA C#9</t>
  </si>
  <si>
    <t>2000100800409</t>
  </si>
  <si>
    <t>KILO DOMINICAL NEGRO C#23</t>
  </si>
  <si>
    <t>2000100800106</t>
  </si>
  <si>
    <t>KILO GRANITO DE ARROZ 190G BLANCO C#24</t>
  </si>
  <si>
    <t>2000100800309</t>
  </si>
  <si>
    <t>KILO GRANITO DE ARROZ 190G CRUDO PFD</t>
  </si>
  <si>
    <t>2000100800109</t>
  </si>
  <si>
    <t>KILO GRANITO DE ARROZ 190G KAKI C#70</t>
  </si>
  <si>
    <t>2000100800107</t>
  </si>
  <si>
    <t>KILO GRANITO DE ARROZ 190G NEGRO C#23</t>
  </si>
  <si>
    <t>2000100800110</t>
  </si>
  <si>
    <t>KILO GRANITO DE ARROZ 190G ROJO BRILLANTE C#72</t>
  </si>
  <si>
    <t>2000100800108</t>
  </si>
  <si>
    <t>KILO GRANITO DE ARROZ 190G TAUPE DUST C#69</t>
  </si>
  <si>
    <t>2000100800241</t>
  </si>
  <si>
    <t>KILO GRANITO DE ARROZ AZUL OSCURO C#21</t>
  </si>
  <si>
    <t>2000100800234</t>
  </si>
  <si>
    <t>KILO GRANITO DE ARROZ BLANCO C#24</t>
  </si>
  <si>
    <t>2000100800233</t>
  </si>
  <si>
    <t>KILO GRANITO DE ARROZ CRUDO PFD</t>
  </si>
  <si>
    <t>2000100800238</t>
  </si>
  <si>
    <t>KILO GRANITO DE ARROZ GRIS CLARO C#54</t>
  </si>
  <si>
    <t>2000100800237</t>
  </si>
  <si>
    <t>KILO GRANITO DE ARROZ KHAKI C#70</t>
  </si>
  <si>
    <t>2000100800239</t>
  </si>
  <si>
    <t>KILO GRANITO DE ARROZ MOSTAZA C#11</t>
  </si>
  <si>
    <t>2000100800235</t>
  </si>
  <si>
    <t>KILO GRANITO DE ARROZ NEGRO C#23</t>
  </si>
  <si>
    <t>2000100800242</t>
  </si>
  <si>
    <t>KILO GRANITO DE ARROZ PALO ROSA C#6</t>
  </si>
  <si>
    <t>2000100800240</t>
  </si>
  <si>
    <t>KILO GRANITO DE ARROZ ROJO C#18</t>
  </si>
  <si>
    <t>2000100800236</t>
  </si>
  <si>
    <t>KILO GRANITO DE ARROZ VERDE MILITAR C#15</t>
  </si>
  <si>
    <t>2000100800400</t>
  </si>
  <si>
    <t>KILO IRAZU CREMA DE LIMA C#80</t>
  </si>
  <si>
    <t>2000100800401</t>
  </si>
  <si>
    <t>KILO IRAZU FUCSIA C#9</t>
  </si>
  <si>
    <t>2000100800399</t>
  </si>
  <si>
    <t>KILO IRAZU LAVANDA C#41</t>
  </si>
  <si>
    <t>2000100800402</t>
  </si>
  <si>
    <t>KILO IRAZU ROJO BRILLANTE C#72</t>
  </si>
  <si>
    <t>2000100800316</t>
  </si>
  <si>
    <t>KILO JAQUARD B AZUL REY C#19</t>
  </si>
  <si>
    <t>2000100800367</t>
  </si>
  <si>
    <t>KILO JAQUARD B BLANCO C#24</t>
  </si>
  <si>
    <t>2000100800317</t>
  </si>
  <si>
    <t>KILO JAQUARD B KHAKI C#70</t>
  </si>
  <si>
    <t>2000100800315</t>
  </si>
  <si>
    <t>KILO JAQUARD B NEGRO C#23</t>
  </si>
  <si>
    <t>2000100800318</t>
  </si>
  <si>
    <t>KILO JAQUARD B VERDE OSCURO C#14</t>
  </si>
  <si>
    <t>2000100800376</t>
  </si>
  <si>
    <t>KILO JAQUARD CONFORT BLANCO C#24</t>
  </si>
  <si>
    <t>2000100800321</t>
  </si>
  <si>
    <t>KILO JAQUARD CONFORT NEGRO C#23</t>
  </si>
  <si>
    <t>2000100800320</t>
  </si>
  <si>
    <t>KILO JAQUARD CONFORT ROJO BRILLANTE C#72</t>
  </si>
  <si>
    <t>2000100800327</t>
  </si>
  <si>
    <t>KILO JAQUARD CONJUNTO BLANCO C#24</t>
  </si>
  <si>
    <t>2000100800322</t>
  </si>
  <si>
    <t>KILO JAQUARD CONJUNTO GRIS CLARO C#54</t>
  </si>
  <si>
    <t>2000100800326</t>
  </si>
  <si>
    <t>KILO JAQUARD CONJUNTO NEGRO C#23</t>
  </si>
  <si>
    <t>2000100800324</t>
  </si>
  <si>
    <t>KILO JAQUARD CONJUNTO NEW C#6</t>
  </si>
  <si>
    <t>2000100800325</t>
  </si>
  <si>
    <t>KILO JAQUARD CONJUNTO ROSADO C#1</t>
  </si>
  <si>
    <t>2000100800323</t>
  </si>
  <si>
    <t>KILO JAQUARD CONJUNTO VERDE OSCURO C#14</t>
  </si>
  <si>
    <t>2000100800273</t>
  </si>
  <si>
    <t>KILO JAQUARD CRUCES BLANCO C#24</t>
  </si>
  <si>
    <t>2000100800271</t>
  </si>
  <si>
    <t>KILO JAQUARD CRUCES KHAKI C#70</t>
  </si>
  <si>
    <t>2000100800269</t>
  </si>
  <si>
    <t>KILO JAQUARD CRUCES NEGRO C#23</t>
  </si>
  <si>
    <t>2000100800270</t>
  </si>
  <si>
    <t>KILO JAQUARD CRUCES ROJO BRILLANTE C#72</t>
  </si>
  <si>
    <t>2000100800272</t>
  </si>
  <si>
    <t>KILO JAQUARD CRUCES VERDE OLIVO C#44</t>
  </si>
  <si>
    <t>2000100800389</t>
  </si>
  <si>
    <t>KILO JAQUARD FIT BLANCO C#24</t>
  </si>
  <si>
    <t>2000100800390</t>
  </si>
  <si>
    <t>KILO JAQUARD FIT CAFÉ C#20</t>
  </si>
  <si>
    <t>2000100800388</t>
  </si>
  <si>
    <t>KILO JAQUARD FIT NEGRO C#23</t>
  </si>
  <si>
    <t>2000100800262</t>
  </si>
  <si>
    <t>KILO JAQUARD FLORES AZUL OSCURO C#21</t>
  </si>
  <si>
    <t>2000100800265</t>
  </si>
  <si>
    <t>KILO JAQUARD FLORES BLANCO C#24</t>
  </si>
  <si>
    <t>2000100800264</t>
  </si>
  <si>
    <t>KILO JAQUARD FLORES NEGRO C#23</t>
  </si>
  <si>
    <t>2000100800263</t>
  </si>
  <si>
    <t>KILO JAQUARD FLORES VERDE CALI C#12</t>
  </si>
  <si>
    <t>2000100800275</t>
  </si>
  <si>
    <t>KILO JAQUARD GAIA BLANCO C#24</t>
  </si>
  <si>
    <t>2000100800278</t>
  </si>
  <si>
    <t>KILO JAQUARD GAIA FUCSIA C#9</t>
  </si>
  <si>
    <t>2000100800276</t>
  </si>
  <si>
    <t>KILO JAQUARD GAIA KHAKI C#70</t>
  </si>
  <si>
    <t>2000100800277</t>
  </si>
  <si>
    <t>KILO JAQUARD GAIA LIMA C#64</t>
  </si>
  <si>
    <t>2000100800274</t>
  </si>
  <si>
    <t>KILO JAQUARD GAIA NEGRO C#23</t>
  </si>
  <si>
    <t>2000100800416</t>
  </si>
  <si>
    <t>KILO JAQUARD LINEAS CAFÉ C#20</t>
  </si>
  <si>
    <t>2000100800319</t>
  </si>
  <si>
    <t>KILO JAQUARD LINEAS VERDE OSUCURO C#14</t>
  </si>
  <si>
    <t>2000100800379</t>
  </si>
  <si>
    <t>KILO JAQUARD NUDO BLANCO C#24</t>
  </si>
  <si>
    <t>2000100800380</t>
  </si>
  <si>
    <t>KILO JAQUARD NUDO CAFE C#20</t>
  </si>
  <si>
    <t>2000100800378</t>
  </si>
  <si>
    <t>KILO JAQUARD NUDO NEGRO C#23</t>
  </si>
  <si>
    <t>2000100800385</t>
  </si>
  <si>
    <t>KILO JAQUARD TRENZA BLANCO C#24</t>
  </si>
  <si>
    <t>2000100800384</t>
  </si>
  <si>
    <t>KILO JAQUARD TRENZA NEGRO C#23</t>
  </si>
  <si>
    <t>2000100800368</t>
  </si>
  <si>
    <t>KILO JAQUARD TRIBAL BLANCO C#24</t>
  </si>
  <si>
    <t>2000100800311</t>
  </si>
  <si>
    <t>KILO JAQUARD ZIG ZAG BLANCO C#24</t>
  </si>
  <si>
    <t>2000100800312</t>
  </si>
  <si>
    <t>KILO JAQUARD ZIG ZAG GRIS CLARO C#54</t>
  </si>
  <si>
    <t>2000100800314</t>
  </si>
  <si>
    <t>KILO JAQUARD ZIG ZAG MOCHA CHOCOLATE C#77</t>
  </si>
  <si>
    <t>2000100800310</t>
  </si>
  <si>
    <t>KILO JAQUARD ZIG ZAG NEGRO C#23</t>
  </si>
  <si>
    <t>2000100800313</t>
  </si>
  <si>
    <t>KILO JAQUARD ZIG ZAG VERDE OLIVO C#44</t>
  </si>
  <si>
    <t>2000100800328</t>
  </si>
  <si>
    <t>KILO LANILLA WAFFLE BLANCO C#24</t>
  </si>
  <si>
    <t>2000100800329</t>
  </si>
  <si>
    <t>KILO LANILLA WAFFLE NEGRO C#23</t>
  </si>
  <si>
    <t>2000100800115</t>
  </si>
  <si>
    <t>KILO LICRA DEPORTIVA AZUL PETROLEO C#22</t>
  </si>
  <si>
    <t>2000100800118</t>
  </si>
  <si>
    <t>KILO LICRA DEPORTIVA AZUL REY C#19</t>
  </si>
  <si>
    <t>2000100800114</t>
  </si>
  <si>
    <t>KILO LICRA DEPORTIVA DARK MELANGE C#40</t>
  </si>
  <si>
    <t>2000100800113</t>
  </si>
  <si>
    <t>KILO LICRA DEPORTIVA GRIS OSCURO C#46</t>
  </si>
  <si>
    <t>2000100800117</t>
  </si>
  <si>
    <t>KILO LICRA DEPORTIVA LAVANDA C#41</t>
  </si>
  <si>
    <t>2000100800111</t>
  </si>
  <si>
    <t>KILO LICRA DEPORTIVA MENTA OSUCRO C#63</t>
  </si>
  <si>
    <t>2000100800116</t>
  </si>
  <si>
    <t>KILO LICRA DEPORTIVA NEW C#4</t>
  </si>
  <si>
    <t>2000100800112</t>
  </si>
  <si>
    <t>KILO LICRA DEPORTIVA PALO DE ROSA C#6</t>
  </si>
  <si>
    <t>2000100800119</t>
  </si>
  <si>
    <t>KILO LICRA DEPORTIVA ROJO BRILLANTE C#72</t>
  </si>
  <si>
    <t>2000100800126</t>
  </si>
  <si>
    <t>KILO LINO CABUYA AZUL CIELO C#45</t>
  </si>
  <si>
    <t>2000100800125</t>
  </si>
  <si>
    <t>KILO LINO CABUYA AZUL PETROLEO C#22</t>
  </si>
  <si>
    <t>2000100800128</t>
  </si>
  <si>
    <t>KILO LINO CABUYA BLANCO C#24</t>
  </si>
  <si>
    <t>2000100800124</t>
  </si>
  <si>
    <t>KILO LINO CABUYA GRIS OSCURO C#46</t>
  </si>
  <si>
    <t>2000100800122</t>
  </si>
  <si>
    <t>KILO LINO CABUYA KAKI C#70</t>
  </si>
  <si>
    <t>2000100800130</t>
  </si>
  <si>
    <t>KILO LINO CABUYA LIMA C#64</t>
  </si>
  <si>
    <t>2000100800121</t>
  </si>
  <si>
    <t>KILO LINO CABUYA MENTA OSCRO C#63</t>
  </si>
  <si>
    <t>2000100800129</t>
  </si>
  <si>
    <t>KILO LINO CABUYA NARANJA C#67</t>
  </si>
  <si>
    <t>2000100800127</t>
  </si>
  <si>
    <t>KILO LINO CABUYA NEGRO C#23</t>
  </si>
  <si>
    <t>2000100800123</t>
  </si>
  <si>
    <t>KILO LINO CABUYA ROJO BRILLANTE C#72</t>
  </si>
  <si>
    <t>2000100800120</t>
  </si>
  <si>
    <t>KILO LINO CABUYA VERDE CALI C#12</t>
  </si>
  <si>
    <t>2000100800134</t>
  </si>
  <si>
    <t>KILO LINO CAHUITA AZUL CIELO C#45</t>
  </si>
  <si>
    <t>2000100800135</t>
  </si>
  <si>
    <t>KILO LINO CAHUITA AZUL PETROLEO C#22</t>
  </si>
  <si>
    <t>2000100800138</t>
  </si>
  <si>
    <t>KILO LINO CAHUITA BLANCO C#24</t>
  </si>
  <si>
    <t>2000100800131</t>
  </si>
  <si>
    <t>KILO LINO CAHUITA KAKI C#70</t>
  </si>
  <si>
    <t>2000100800132</t>
  </si>
  <si>
    <t>KILO LINO CAHUITA MOCHA C#71</t>
  </si>
  <si>
    <t>2000100800139</t>
  </si>
  <si>
    <t>KILO LINO CAHUITA NEGRO C#23</t>
  </si>
  <si>
    <t>2000100800137</t>
  </si>
  <si>
    <t>KILO LINO CAHUITA PALO ROSA C#6</t>
  </si>
  <si>
    <t>2000100800136</t>
  </si>
  <si>
    <t>KILO LINO CAHUITA ROJO BRILLANTE C#72</t>
  </si>
  <si>
    <t>2000100800140</t>
  </si>
  <si>
    <t>KILO LINO CAHUITA TAUPE DUST C#69</t>
  </si>
  <si>
    <t>2000100800133</t>
  </si>
  <si>
    <t>KILO LINO CAHUITA VERDE CALI C#12</t>
  </si>
  <si>
    <t>2000100800288</t>
  </si>
  <si>
    <t>KILO LINO POLIESTER  LILA C#42</t>
  </si>
  <si>
    <t>2000100800142</t>
  </si>
  <si>
    <t>KILO LINO POLIESTER AZUL REY C#19</t>
  </si>
  <si>
    <t>2000100800146</t>
  </si>
  <si>
    <t>KILO LINO POLIESTER BLANCO C#24</t>
  </si>
  <si>
    <t>2000100800330</t>
  </si>
  <si>
    <t>KILO LINO POLIESTER CRUDO PFD</t>
  </si>
  <si>
    <t>2000100800149</t>
  </si>
  <si>
    <t>KILO LINO POLIESTER KHAKI C#70</t>
  </si>
  <si>
    <t>2000100800148</t>
  </si>
  <si>
    <t>KILO LINO POLIESTER MENTA OSCURO C#63</t>
  </si>
  <si>
    <t>2000100800144</t>
  </si>
  <si>
    <t>KILO LINO POLIESTER NEGRO C#23</t>
  </si>
  <si>
    <t>2000100800145</t>
  </si>
  <si>
    <t>KILO LINO POLIESTER PALO ROSA C#6</t>
  </si>
  <si>
    <t>2000100800141</t>
  </si>
  <si>
    <t>KILO LINO POLIESTER ROJO BRILLANTE C#72</t>
  </si>
  <si>
    <t>2000100800289</t>
  </si>
  <si>
    <t>KILO LINO POLIESTER TAUPE DUST C#69</t>
  </si>
  <si>
    <t>2000100800147</t>
  </si>
  <si>
    <t>KILO LINO POLIESTER TERRACOTA C#52</t>
  </si>
  <si>
    <t>2000100800143</t>
  </si>
  <si>
    <t>KILO LINO POLIESTER VERDE MILITAR C#15</t>
  </si>
  <si>
    <t>2000100800333</t>
  </si>
  <si>
    <t>KILO MANZANILLO AZUL OSCURO C#21</t>
  </si>
  <si>
    <t>2000100800332</t>
  </si>
  <si>
    <t>KILO MANZANILLO GRIS CLARO C#54</t>
  </si>
  <si>
    <t>2000100800334</t>
  </si>
  <si>
    <t>KILO MANZANILLO GRIS OSCURO</t>
  </si>
  <si>
    <t>2000100800331</t>
  </si>
  <si>
    <t>KILO MANZANILLO NEGRO C#23</t>
  </si>
  <si>
    <t>2000100800335</t>
  </si>
  <si>
    <t>KILO MANZANILLO ROJO BRILLANTE C#72</t>
  </si>
  <si>
    <t>2000100800398</t>
  </si>
  <si>
    <t>KILO MONTEZUMA NEGRO C#23</t>
  </si>
  <si>
    <t>2000100800354</t>
  </si>
  <si>
    <t>KILO PIEL DE CONEJO SUBLIMADO</t>
  </si>
  <si>
    <t>2000100800339</t>
  </si>
  <si>
    <t>KILO PINILLA AZUL OSCURO C#21</t>
  </si>
  <si>
    <t>2000100800336</t>
  </si>
  <si>
    <t>KILO PINILLA BLANCO C#24</t>
  </si>
  <si>
    <t>2000100800337</t>
  </si>
  <si>
    <t>KILO PINILLA NEGRO C#23</t>
  </si>
  <si>
    <t>2000100800338</t>
  </si>
  <si>
    <t>KILO PINILLA ROJO BRILLANTE C#72</t>
  </si>
  <si>
    <t>2000100800247</t>
  </si>
  <si>
    <t>KILO PITHAYA C#1</t>
  </si>
  <si>
    <t>2000100800248</t>
  </si>
  <si>
    <t>KILO PITHAYA C#2</t>
  </si>
  <si>
    <t>2000100800249</t>
  </si>
  <si>
    <t>KILO PITHAYA C#3</t>
  </si>
  <si>
    <t>2000100800250</t>
  </si>
  <si>
    <t>KILO PITHAYA C#4</t>
  </si>
  <si>
    <t>2000100800251</t>
  </si>
  <si>
    <t>KILO PITHAYA C#5</t>
  </si>
  <si>
    <t>2000100800340</t>
  </si>
  <si>
    <t>KILO PLUSH BLANCO C#24</t>
  </si>
  <si>
    <t>2000100800344</t>
  </si>
  <si>
    <t>KILO PLUSH CELESTE BEBE C#89</t>
  </si>
  <si>
    <t>2000100800341</t>
  </si>
  <si>
    <t>KILO PLUSH NEGRO C#23</t>
  </si>
  <si>
    <t>2000100800342</t>
  </si>
  <si>
    <t>KILO PLUSH ROJO BRILLANTE C#72</t>
  </si>
  <si>
    <t>2000100800343</t>
  </si>
  <si>
    <t>KILO PLUSH ROSADO C#1</t>
  </si>
  <si>
    <t>2000100800158</t>
  </si>
  <si>
    <t>KILO POLY LICRA AMARILLO COLOMBIA C#36</t>
  </si>
  <si>
    <t>2000100800151</t>
  </si>
  <si>
    <t>KILO POLY LICRA AMARILLO NEON CN#5</t>
  </si>
  <si>
    <t>2000100800292</t>
  </si>
  <si>
    <t>KILO POLY LICRA AZUL REY C#19</t>
  </si>
  <si>
    <t>2000100800345</t>
  </si>
  <si>
    <t>KILO POLY LICRA BLANCO C#24</t>
  </si>
  <si>
    <t>2000100800279</t>
  </si>
  <si>
    <t>KILO POLY LICRA CORAL C#8</t>
  </si>
  <si>
    <t>2000100800150</t>
  </si>
  <si>
    <t>KILO POLY LICRA FUCSIA C#9</t>
  </si>
  <si>
    <t>2000100800154</t>
  </si>
  <si>
    <t>KILO POLY LICRA FUCSIA NEON CN#1</t>
  </si>
  <si>
    <t>2000100800159</t>
  </si>
  <si>
    <t>KILO POLY LICRA LIMA C#64</t>
  </si>
  <si>
    <t>2000100800153</t>
  </si>
  <si>
    <t>KILO POLY LICRA NARANJA C#67</t>
  </si>
  <si>
    <t>2000100800281</t>
  </si>
  <si>
    <t>KILO POLY LICRA NEGRO C#23</t>
  </si>
  <si>
    <t>2000100800160</t>
  </si>
  <si>
    <t>KILO POLY LICRA ORQUIDEA C#61</t>
  </si>
  <si>
    <t>2000100800291</t>
  </si>
  <si>
    <t>KILO POLY LICRA ROJO BRILLANTE C#72</t>
  </si>
  <si>
    <t>2000100800282</t>
  </si>
  <si>
    <t>KILO POLY LICRA ROSADO NEON CN#6</t>
  </si>
  <si>
    <t>2000100800283</t>
  </si>
  <si>
    <t>KILO POLY LICRA TAUPE DUST C#69</t>
  </si>
  <si>
    <t>2000100800155</t>
  </si>
  <si>
    <t>KILO POLY LICRA TURQUESA C#33</t>
  </si>
  <si>
    <t>2000100800156</t>
  </si>
  <si>
    <t>KILO POLY LICRA VERDE AGUA C#32</t>
  </si>
  <si>
    <t>2000100800157</t>
  </si>
  <si>
    <t>KILO POLY LICRA VERDE CALI C#2</t>
  </si>
  <si>
    <t>2000100800284</t>
  </si>
  <si>
    <t>KILO POLY LICRA VERDE MENTA  C#34</t>
  </si>
  <si>
    <t>2000100800152</t>
  </si>
  <si>
    <t>KILO POLY LICRA VERDE MENTA OSCURO C#63</t>
  </si>
  <si>
    <t>2000100800347</t>
  </si>
  <si>
    <t>KILO RIB 2*2 AZUL REY C#19</t>
  </si>
  <si>
    <t>2000100800346</t>
  </si>
  <si>
    <t>KILO RIB 2*2 KHAKI C#70</t>
  </si>
  <si>
    <t>2000100800369</t>
  </si>
  <si>
    <t>KILO RIB 2*2 NEGRO C#23</t>
  </si>
  <si>
    <t>2000100800348</t>
  </si>
  <si>
    <t>KILO RIB 2*2 ROJO BRILLANTE C#72</t>
  </si>
  <si>
    <t>2000100800370</t>
  </si>
  <si>
    <t>KILO RIB 2*2 VERDE OLIVO C#44</t>
  </si>
  <si>
    <t>2000100800178</t>
  </si>
  <si>
    <t>KILO RIB AMARILLO COLOMBIA C#36</t>
  </si>
  <si>
    <t>2000100800168</t>
  </si>
  <si>
    <t>KILO RIB AZUL CIELO C#45</t>
  </si>
  <si>
    <t>2000100800176</t>
  </si>
  <si>
    <t>KILO RIB AZUL OSCURO C#21</t>
  </si>
  <si>
    <t>2000100800180</t>
  </si>
  <si>
    <t>KILO RIB AZUL PETROLEO C#22</t>
  </si>
  <si>
    <t>2000100800163</t>
  </si>
  <si>
    <t>KILO RIB BLANCO C#24</t>
  </si>
  <si>
    <t>2000100800182</t>
  </si>
  <si>
    <t>KILO RIB CORAL C#8</t>
  </si>
  <si>
    <t>2000100800183</t>
  </si>
  <si>
    <t>KILO RIB FUCSIA C#9</t>
  </si>
  <si>
    <t>2000100800171</t>
  </si>
  <si>
    <t>KILO RIB GRIS CLARO C#54</t>
  </si>
  <si>
    <t>2000100800179</t>
  </si>
  <si>
    <t>KILO RIB GRIS OSCURO C#46</t>
  </si>
  <si>
    <t>2000100800181</t>
  </si>
  <si>
    <t>KILO RIB KHAKI C#70</t>
  </si>
  <si>
    <t>2000100800169</t>
  </si>
  <si>
    <t>KILO RIB LILA C#42</t>
  </si>
  <si>
    <t>2000100800165</t>
  </si>
  <si>
    <t>KILO RIB MENTA OSCURO C#63</t>
  </si>
  <si>
    <t>2000100800166</t>
  </si>
  <si>
    <t>KILO RIB MOCHA C#71</t>
  </si>
  <si>
    <t>2000100800173</t>
  </si>
  <si>
    <t>KILO RIB MOSTAZA C#11</t>
  </si>
  <si>
    <t>2000100800162</t>
  </si>
  <si>
    <t>KILO RIB NEGRO C#23</t>
  </si>
  <si>
    <t>2000100800170</t>
  </si>
  <si>
    <t>KILO RIB PALO ROSA C#6</t>
  </si>
  <si>
    <t>2000100800177</t>
  </si>
  <si>
    <t>KILO RIB PALO ROSA CLARO C#3</t>
  </si>
  <si>
    <t>2000100800295</t>
  </si>
  <si>
    <t>KILO RIB PITILLO BLANCO C#24</t>
  </si>
  <si>
    <t>2000100800349</t>
  </si>
  <si>
    <t>KILO RIB PITILLO NEGRO C#23</t>
  </si>
  <si>
    <t>2000100800161</t>
  </si>
  <si>
    <t>KILO RIB ROJO BRILLANTE C#72</t>
  </si>
  <si>
    <t>2000100800172</t>
  </si>
  <si>
    <t>KILO RIB ROJO C#18</t>
  </si>
  <si>
    <t>2000100800175</t>
  </si>
  <si>
    <t>KILO RIB ROSADO C#1</t>
  </si>
  <si>
    <t>2000100800164</t>
  </si>
  <si>
    <t>KILO RIB TERRACOTA C#52</t>
  </si>
  <si>
    <t>2000100800167</t>
  </si>
  <si>
    <t>KILO RIB VERDE C#12</t>
  </si>
  <si>
    <t>2000100800174</t>
  </si>
  <si>
    <t>KILO RIB VERDE MILITAR C#15</t>
  </si>
  <si>
    <t>2000100800184</t>
  </si>
  <si>
    <t>KILO RIB VINO TINTO C#30</t>
  </si>
  <si>
    <t>2000100800185</t>
  </si>
  <si>
    <t>KILO SATIN AMARILLO BEBE C#55</t>
  </si>
  <si>
    <t>2000100800196</t>
  </si>
  <si>
    <t>KILO SATIN AZUL CIELO C#45</t>
  </si>
  <si>
    <t>2000100800194</t>
  </si>
  <si>
    <t>KILO SATIN AZUL REY C#19</t>
  </si>
  <si>
    <t>2000100800257</t>
  </si>
  <si>
    <t>KILO SATIN BLANCO C#24</t>
  </si>
  <si>
    <t>2000100800188</t>
  </si>
  <si>
    <t>KILO SATIN CORAL C#8</t>
  </si>
  <si>
    <t>2000100800350</t>
  </si>
  <si>
    <t>KILO SATIN CRISPO BLANCO C#24</t>
  </si>
  <si>
    <t>2000100800267</t>
  </si>
  <si>
    <t>KILO SATIN CRISPO FUCSIA C#9</t>
  </si>
  <si>
    <t>2000100800266</t>
  </si>
  <si>
    <t>KILO SATIN CRISPO NEGRO C#23</t>
  </si>
  <si>
    <t>2000100800268</t>
  </si>
  <si>
    <t>KILO SATIN CRISPO TAUPE C#49</t>
  </si>
  <si>
    <t>2000100800417</t>
  </si>
  <si>
    <t>KILO SATIN CRISPO VERDE OSCURO C#14</t>
  </si>
  <si>
    <t>2000100800230</t>
  </si>
  <si>
    <t>KILO SATIN CRUDO PFD</t>
  </si>
  <si>
    <t>2000100800186</t>
  </si>
  <si>
    <t>KILO SATIN FUCSIA C#9</t>
  </si>
  <si>
    <t>2000100800229</t>
  </si>
  <si>
    <t>KILO SATIN GRIS CLARO C#54</t>
  </si>
  <si>
    <t>2000100800187</t>
  </si>
  <si>
    <t>KILO SATIN KHAKI C#70</t>
  </si>
  <si>
    <t>2000100800198</t>
  </si>
  <si>
    <t>KILO SATIN LAVANDA C#41</t>
  </si>
  <si>
    <t>2000100800195</t>
  </si>
  <si>
    <t>KILO SATIN LILA C#42</t>
  </si>
  <si>
    <t>2000100800287</t>
  </si>
  <si>
    <t>KILO SATIN MENTA OSCURO C#63</t>
  </si>
  <si>
    <t>2000100800203</t>
  </si>
  <si>
    <t>KILO SATIN MOCHA C#71</t>
  </si>
  <si>
    <t>2000100800190</t>
  </si>
  <si>
    <t>KILO SATIN MORADO C#43</t>
  </si>
  <si>
    <t>2000100800205</t>
  </si>
  <si>
    <t>KILO SATIN NEGRO C#23</t>
  </si>
  <si>
    <t>2000100800192</t>
  </si>
  <si>
    <t>KILO SATIN PALO ROSA C#6</t>
  </si>
  <si>
    <t>2000100800261</t>
  </si>
  <si>
    <t>KILO SATIN PERLA MOCHA MOUSSE C#79</t>
  </si>
  <si>
    <t>2000100800387</t>
  </si>
  <si>
    <t>KILO SATIN PERLA NEGRO C#23</t>
  </si>
  <si>
    <t>2000100800259</t>
  </si>
  <si>
    <t>KILO SATIN PERLA ROJO BRILLANTE C#72</t>
  </si>
  <si>
    <t>2000100800260</t>
  </si>
  <si>
    <t>KILO SATIN PERLA VERDE OLIVO C#44</t>
  </si>
  <si>
    <t>2000100800191</t>
  </si>
  <si>
    <t>KILO SATIN ROJO BRILLANTE C#72</t>
  </si>
  <si>
    <t>2000100800197</t>
  </si>
  <si>
    <t>KILO SATIN ROSADO C#2</t>
  </si>
  <si>
    <t>2000100800201</t>
  </si>
  <si>
    <t>KILO SATIN ROSADO CLARO C#1</t>
  </si>
  <si>
    <t>2000100800255</t>
  </si>
  <si>
    <t>KILO SATIN SUBLIMADO</t>
  </si>
  <si>
    <t>2000100800202</t>
  </si>
  <si>
    <t>KILO SATIN TAUPE C#49</t>
  </si>
  <si>
    <t>2000100800204</t>
  </si>
  <si>
    <t>KILO SATIN TAUPE DUST C#69</t>
  </si>
  <si>
    <t>2000100800189</t>
  </si>
  <si>
    <t>KILO SATIN TERRACOTA C#52</t>
  </si>
  <si>
    <t>2000100800193</t>
  </si>
  <si>
    <t>KILO SATIN VERDE C#12</t>
  </si>
  <si>
    <t>2000100800199</t>
  </si>
  <si>
    <t>KILO SATIN VERDE OLIVO C#44</t>
  </si>
  <si>
    <t>2000100800200</t>
  </si>
  <si>
    <t>KILO SATIN VERDE OSCURO C#14</t>
  </si>
  <si>
    <t>2000100800394</t>
  </si>
  <si>
    <t>KILO SAVEGRE AZUL NAVY C#47</t>
  </si>
  <si>
    <t>2000100800396</t>
  </si>
  <si>
    <t>KILO SAVEGRE AZUL REY C#19</t>
  </si>
  <si>
    <t>2000100800351</t>
  </si>
  <si>
    <t>KILO SAVEGRE BLANCO C#24</t>
  </si>
  <si>
    <t>2000100800391</t>
  </si>
  <si>
    <t>2000100800397</t>
  </si>
  <si>
    <t>KILO SAVEGRE FUCSIA C#9</t>
  </si>
  <si>
    <t>2000100800393</t>
  </si>
  <si>
    <t>KILO SAVEGRE GRIS OSCURO C#46</t>
  </si>
  <si>
    <t>2000100800352</t>
  </si>
  <si>
    <t>KILO SAVEGRE NEGRO C#23</t>
  </si>
  <si>
    <t>2000100800392</t>
  </si>
  <si>
    <t>2000100800395</t>
  </si>
  <si>
    <t>KILO SAVEGRE ROJO BRILLANTE C#72</t>
  </si>
  <si>
    <t>2000100800353</t>
  </si>
  <si>
    <t>KILO SCUBA CREPE NEGRO C#23</t>
  </si>
  <si>
    <t>2000100800213</t>
  </si>
  <si>
    <t>KILO SEDA DE MANGO AZUL REY C#19</t>
  </si>
  <si>
    <t>2000100800290</t>
  </si>
  <si>
    <t>KILO SEDA DE MANGO BLANCO C#24</t>
  </si>
  <si>
    <t>2000100800232</t>
  </si>
  <si>
    <t>KILO SEDA DE MANGO CRUDO PFD</t>
  </si>
  <si>
    <t>2000100800212</t>
  </si>
  <si>
    <t>KILO SEDA DE MANGO KHAKI C#70</t>
  </si>
  <si>
    <t>2000100800216</t>
  </si>
  <si>
    <t>KILO SEDA DE MANGO LILA C#42</t>
  </si>
  <si>
    <t>2000100800218</t>
  </si>
  <si>
    <t>KILO SEDA DE MANGO MENTA OSCURO C#63</t>
  </si>
  <si>
    <t>2000100800208</t>
  </si>
  <si>
    <t>KILO SEDA DE MANGO MOSTAZA C#11</t>
  </si>
  <si>
    <t>2000100800214</t>
  </si>
  <si>
    <t>KILO SEDA DE MANGO NEGRO C#23</t>
  </si>
  <si>
    <t>2000100800217</t>
  </si>
  <si>
    <t>KILO SEDA DE MANGO PALO ROSA C#6</t>
  </si>
  <si>
    <t>2000100800210</t>
  </si>
  <si>
    <t>KILO SEDA DE MANGO ROJO BRILLANTE C#72</t>
  </si>
  <si>
    <t>2000100800207</t>
  </si>
  <si>
    <t>KILO SEDA DE MANGO ROSADO C#1</t>
  </si>
  <si>
    <t>2000100800256</t>
  </si>
  <si>
    <t>KILO SEDA DE MANGO SUBLIMADO</t>
  </si>
  <si>
    <t>2000100800206</t>
  </si>
  <si>
    <t>KILO SEDA DE MANGO TAUPE C#49</t>
  </si>
  <si>
    <t>2000100800285</t>
  </si>
  <si>
    <t>KILO SEDA DE MANGO TAUPE DUST C#69</t>
  </si>
  <si>
    <t>2000100800209</t>
  </si>
  <si>
    <t>KILO SEDA DE MANGO TERRACOTA C#52</t>
  </si>
  <si>
    <t>2000100800211</t>
  </si>
  <si>
    <t>KILO SEDA DE MANGO TURQUESA C#33</t>
  </si>
  <si>
    <t>2000100800286</t>
  </si>
  <si>
    <t>KILO SEDA DE MANGO VERDE MILITAR C#15</t>
  </si>
  <si>
    <t>2000100800215</t>
  </si>
  <si>
    <t>KILO SEDA DE MANGO VINO TINTO C#30</t>
  </si>
  <si>
    <t>2000100800293</t>
  </si>
  <si>
    <t>KILO SEDA MANGO NUEVA BLANCO C#24</t>
  </si>
  <si>
    <t>2000100270001</t>
  </si>
  <si>
    <t>KILO STANDARD AZUL CIELO C#45</t>
  </si>
  <si>
    <t>2000100270002</t>
  </si>
  <si>
    <t>KILO STANDARD AZUL REY C#19</t>
  </si>
  <si>
    <t>2000100270003</t>
  </si>
  <si>
    <t>KILO STANDARD BLANCO C#24</t>
  </si>
  <si>
    <t>2000100270004</t>
  </si>
  <si>
    <t>KILO STANDARD FUCSIA C#9</t>
  </si>
  <si>
    <t>2000100270005</t>
  </si>
  <si>
    <t>KILO STANDARD LILA C#42</t>
  </si>
  <si>
    <t>2000100270006</t>
  </si>
  <si>
    <t>KILO STANDARD MOCHA CHOCOLATE C#77</t>
  </si>
  <si>
    <t>2000100270007</t>
  </si>
  <si>
    <t>KILO STANDARD NEGRO C#23</t>
  </si>
  <si>
    <t>2000100270008</t>
  </si>
  <si>
    <t>KILO STANDARD ROJO BRILLANTE C#72</t>
  </si>
  <si>
    <t>2000100270009</t>
  </si>
  <si>
    <t>KILO STANDARD ROSA SUAVE C#75</t>
  </si>
  <si>
    <t>2000100270010</t>
  </si>
  <si>
    <t>KILO STANDARD ROSADO C#1</t>
  </si>
  <si>
    <t>2000100270013</t>
  </si>
  <si>
    <t>KILO STANDARD SUBLIMADO</t>
  </si>
  <si>
    <t>2000100270011</t>
  </si>
  <si>
    <t>KILO STANDARD TAUPE DUST C#69</t>
  </si>
  <si>
    <t>2000100270012</t>
  </si>
  <si>
    <t>KILO STANDARD VERDE OSCURO C#14</t>
  </si>
  <si>
    <t>2000100800406</t>
  </si>
  <si>
    <t>KILO TAMARINDO BLANCO C#24</t>
  </si>
  <si>
    <t>2000100800375</t>
  </si>
  <si>
    <t>KILO TAMARINDO NEGRO C#23</t>
  </si>
  <si>
    <t>2000100800407</t>
  </si>
  <si>
    <t>KILO TAMARINDO ROJO BRILLANTE C#72</t>
  </si>
  <si>
    <t>2000100800405</t>
  </si>
  <si>
    <t>KILO TAMARINDO TAUPE C#49</t>
  </si>
  <si>
    <t>2000100800243</t>
  </si>
  <si>
    <t>KILO TERCIOPELO LICRADO BLANCO C#24</t>
  </si>
  <si>
    <t>2000100800244</t>
  </si>
  <si>
    <t>KILO TERCIOPELO LICRADO NEGRO C#23</t>
  </si>
  <si>
    <t>2000100800356</t>
  </si>
  <si>
    <t>KILO TWILL PIQUE BLANCO C#24</t>
  </si>
  <si>
    <t>2000100800355</t>
  </si>
  <si>
    <t>KILO TWILL PIQUE NEGRO C#23</t>
  </si>
  <si>
    <t>2000100800372</t>
  </si>
  <si>
    <t>KILO UVITA AZUL CIELO C#45</t>
  </si>
  <si>
    <t>2000100800224</t>
  </si>
  <si>
    <t>KILO UVITA AZUL OSCURO C#21</t>
  </si>
  <si>
    <t>2000100800383</t>
  </si>
  <si>
    <t>KILO UVITA AZUL REY C#19</t>
  </si>
  <si>
    <t>2000100800220</t>
  </si>
  <si>
    <t>KILO UVITA BLANCO C#24</t>
  </si>
  <si>
    <t>2000100800219</t>
  </si>
  <si>
    <t>KILO UVITA CRUDO PFD</t>
  </si>
  <si>
    <t>2000100800221</t>
  </si>
  <si>
    <t>KILO UVITA GRIS CLARO C#54</t>
  </si>
  <si>
    <t>2000100800222</t>
  </si>
  <si>
    <t>KILO UVITA KHAKI C#70</t>
  </si>
  <si>
    <t>2000100800371</t>
  </si>
  <si>
    <t>KILO UVITA LILA C#42</t>
  </si>
  <si>
    <t>2000100800225</t>
  </si>
  <si>
    <t>KILO UVITA NEGRO C#23</t>
  </si>
  <si>
    <t>2000100800223</t>
  </si>
  <si>
    <t>KILO UVITA NEW C#6</t>
  </si>
  <si>
    <t>2000100800373</t>
  </si>
  <si>
    <t>KILO UVITA ROSADO C#1</t>
  </si>
  <si>
    <t>2000100800226</t>
  </si>
  <si>
    <t>KILO UVITA VERDE OSCURO C#14</t>
  </si>
  <si>
    <t>2000100800359</t>
  </si>
  <si>
    <t>KILO WAFER AZUL CIELO C#45</t>
  </si>
  <si>
    <t>2000100800361</t>
  </si>
  <si>
    <t>KILO WAFER BEIDGE C#1</t>
  </si>
  <si>
    <t>2000100800228</t>
  </si>
  <si>
    <t>KILO WAFER BLANCO C#24</t>
  </si>
  <si>
    <t>2000100800357</t>
  </si>
  <si>
    <t>KILO WAFER CREMA DE LIMA C#80</t>
  </si>
  <si>
    <t>2000100800358</t>
  </si>
  <si>
    <t>KILO WAFER FLOR DE DESIERTO C#74</t>
  </si>
  <si>
    <t>2000100800382</t>
  </si>
  <si>
    <t>KILO WAFER KAKHI C#70</t>
  </si>
  <si>
    <t>2000100800412</t>
  </si>
  <si>
    <t>KILO WAFER LILA C#42</t>
  </si>
  <si>
    <t>2000100800415</t>
  </si>
  <si>
    <t>KILO WAFER MENTA OSCURO C#63</t>
  </si>
  <si>
    <t>2000100800227</t>
  </si>
  <si>
    <t>KILO WAFER NEGRO C#23</t>
  </si>
  <si>
    <t>2000100800245</t>
  </si>
  <si>
    <t>KILO WAFER NEW C#6</t>
  </si>
  <si>
    <t>2000100800360</t>
  </si>
  <si>
    <t>KILO WAFER PFD CRUDO</t>
  </si>
  <si>
    <t>2000100800414</t>
  </si>
  <si>
    <t>KILO WAFER ROJO BRILLANTE C#72</t>
  </si>
  <si>
    <t>2000100800413</t>
  </si>
  <si>
    <t>KILO WAFER TERRACOTA C#52</t>
  </si>
  <si>
    <t>2000100800374</t>
  </si>
  <si>
    <t>KILO WAFER VERDE MILITAR C#15</t>
  </si>
  <si>
    <t>2000100800411</t>
  </si>
  <si>
    <t>KILO WAFER VERDE OLIVO C#44</t>
  </si>
  <si>
    <t>2000100800381</t>
  </si>
  <si>
    <t>KILO WAFER VINO TINTO C#30</t>
  </si>
  <si>
    <t>2000100800362</t>
  </si>
  <si>
    <t>KILO WAFFLE NIDO DE ABEJA BLANCO C#24</t>
  </si>
  <si>
    <t>2000100800363</t>
  </si>
  <si>
    <t>KILO WAFFLE NIDO DE ABEJA NEGRO C#23</t>
  </si>
  <si>
    <t>2000100800364</t>
  </si>
  <si>
    <t>KILO WAFFLE NIDO DE ABEJA NEW C#6</t>
  </si>
  <si>
    <t>2000100800365</t>
  </si>
  <si>
    <t>KILO WAFFLE NIDO DE ABEJA ROJO BRILLANTE C#24</t>
  </si>
  <si>
    <t>2000100800366</t>
  </si>
  <si>
    <t>KILO WAFFLE NIDO DE ABEJA ROSADO C#1</t>
  </si>
  <si>
    <t>REFERENCIA</t>
  </si>
  <si>
    <t>DETALLE</t>
  </si>
  <si>
    <t>EXISTENCIA</t>
  </si>
  <si>
    <t>ACETATO</t>
  </si>
  <si>
    <t>ANTIFLUIDO RIGIDO</t>
  </si>
  <si>
    <t>CAMISETA PRO</t>
  </si>
  <si>
    <t>CAMISETA TERRY</t>
  </si>
  <si>
    <t>CARTAGO</t>
  </si>
  <si>
    <t>CHIFON CREPE</t>
  </si>
  <si>
    <t>CHIRRIPO</t>
  </si>
  <si>
    <t>CONCHAL</t>
  </si>
  <si>
    <t>CREPE</t>
  </si>
  <si>
    <t>DOMINICAL</t>
  </si>
  <si>
    <t>IRAZU</t>
  </si>
  <si>
    <t>MANZANILLO</t>
  </si>
  <si>
    <t>MONTEZUMA</t>
  </si>
  <si>
    <t>PINILLA</t>
  </si>
  <si>
    <t>PITHAYA</t>
  </si>
  <si>
    <t>PLUSH</t>
  </si>
  <si>
    <t>RIB</t>
  </si>
  <si>
    <t>SATIN</t>
  </si>
  <si>
    <t>SAVEGRE</t>
  </si>
  <si>
    <t>STANDARD</t>
  </si>
  <si>
    <t>TAMARINDO</t>
  </si>
  <si>
    <t>TERCIOPELO</t>
  </si>
  <si>
    <t>TWILL</t>
  </si>
  <si>
    <t>UVITA</t>
  </si>
  <si>
    <t>WAFER</t>
  </si>
  <si>
    <t>GRANITO DE ARROZ 190G</t>
  </si>
  <si>
    <t>JAQUARD B</t>
  </si>
  <si>
    <t>JAQUARD CONFORT</t>
  </si>
  <si>
    <t>JAQUARD CONJUNTO</t>
  </si>
  <si>
    <t>JAQUARD CRUCES</t>
  </si>
  <si>
    <t>JAQUARD FIT</t>
  </si>
  <si>
    <t>JAQUARD FLORES</t>
  </si>
  <si>
    <t>JAQUARD GAIA</t>
  </si>
  <si>
    <t>JAQUARD LINEAS</t>
  </si>
  <si>
    <t>JAQUARD NUDO</t>
  </si>
  <si>
    <t>JAQUARD TRENZA</t>
  </si>
  <si>
    <t>JAQUARD TRIBAL</t>
  </si>
  <si>
    <t>JAQUARD ZIG ZAG</t>
  </si>
  <si>
    <t>LANILLA WAFFLE</t>
  </si>
  <si>
    <t>LICRA DEPORTIVA</t>
  </si>
  <si>
    <t>LINO CABUYA</t>
  </si>
  <si>
    <t>LINO CAHUITA</t>
  </si>
  <si>
    <t>LINO POLIESTER</t>
  </si>
  <si>
    <t>POLY LICRA</t>
  </si>
  <si>
    <t>RIB PITILLO</t>
  </si>
  <si>
    <t>SATIN CRISPO</t>
  </si>
  <si>
    <t>SATIN PERLA</t>
  </si>
  <si>
    <t>SCUBA CREPE</t>
  </si>
  <si>
    <t>SEDA DE MANGO</t>
  </si>
  <si>
    <t>TERCIOPELO LICRADO</t>
  </si>
  <si>
    <t>TWILL PIQUE</t>
  </si>
  <si>
    <t>WAFFLE NIDO DE ABEJA</t>
  </si>
  <si>
    <t>JAQAURD FIT</t>
  </si>
  <si>
    <t>RIB 2*2</t>
  </si>
  <si>
    <t>BRUSH</t>
  </si>
  <si>
    <t>CATEGORIA</t>
  </si>
  <si>
    <t>(en blanco)</t>
  </si>
  <si>
    <t>Total general</t>
  </si>
  <si>
    <t>PRECIO X KILO</t>
  </si>
  <si>
    <t>RENDIMIENTO</t>
  </si>
  <si>
    <t>NOMBRE ETIQUETA</t>
  </si>
  <si>
    <t>NOMBRE TELAS REAL</t>
  </si>
  <si>
    <t>METROS POR KILO</t>
  </si>
  <si>
    <t>PSJ 533</t>
  </si>
  <si>
    <t>3.3</t>
  </si>
  <si>
    <t>ANTIFLUIDO</t>
  </si>
  <si>
    <t>ANTIFLUIDO COLORES RIGIDO</t>
  </si>
  <si>
    <t>4.2</t>
  </si>
  <si>
    <t>PANTALONETA STRECH</t>
  </si>
  <si>
    <t>ANTIFLUIDO LICRADO SUBLIMADO/COLORES</t>
  </si>
  <si>
    <t>4.5</t>
  </si>
  <si>
    <t>DTY TWO SIDES BRUSH PD</t>
  </si>
  <si>
    <t>BRUSH COLORES</t>
  </si>
  <si>
    <t>3.4</t>
  </si>
  <si>
    <t>BRUSH SUBLIMADO</t>
  </si>
  <si>
    <t>CAMISETA DEPORTIVA</t>
  </si>
  <si>
    <t>5.5</t>
  </si>
  <si>
    <t>WP 445</t>
  </si>
  <si>
    <t>3.8</t>
  </si>
  <si>
    <t>PD1206-1</t>
  </si>
  <si>
    <t>2.0</t>
  </si>
  <si>
    <t>CEY PD</t>
  </si>
  <si>
    <t>CREPE COLORES</t>
  </si>
  <si>
    <t>CUERINA</t>
  </si>
  <si>
    <t>GRANITO DE ARROZ LIUERYOOL</t>
  </si>
  <si>
    <t>GRANITO DE ARROZ / SUBLIMADO - COLORES</t>
  </si>
  <si>
    <t>2.7</t>
  </si>
  <si>
    <t>GRANITO DE ARROZ LIVERPOOL 190G</t>
  </si>
  <si>
    <t>GRANITO DE ARROZ 190 G</t>
  </si>
  <si>
    <t>2.9</t>
  </si>
  <si>
    <t>LICRA DEPORTIVA COLORES</t>
  </si>
  <si>
    <t>2.1</t>
  </si>
  <si>
    <t>LICRA DEPORTIVA NEGRA</t>
  </si>
  <si>
    <t>1.9</t>
  </si>
  <si>
    <t>WP 318Q</t>
  </si>
  <si>
    <t>4.6</t>
  </si>
  <si>
    <t>WP 311Q</t>
  </si>
  <si>
    <t>WPR 003</t>
  </si>
  <si>
    <t>LINO CAUHITA</t>
  </si>
  <si>
    <t>4.3</t>
  </si>
  <si>
    <t>LINO POLIESTER CRUDO</t>
  </si>
  <si>
    <t>4.9</t>
  </si>
  <si>
    <t>LIVERPOOL</t>
  </si>
  <si>
    <t>LIVERPOOL SUBLIMADO</t>
  </si>
  <si>
    <t>3.5</t>
  </si>
  <si>
    <t>LOTTO</t>
  </si>
  <si>
    <t>LOTTO SUBLIMADO</t>
  </si>
  <si>
    <t>BRU 001</t>
  </si>
  <si>
    <t>MANZANILLO COLORES</t>
  </si>
  <si>
    <t>2.8</t>
  </si>
  <si>
    <t>WP 326</t>
  </si>
  <si>
    <t>PALMARES</t>
  </si>
  <si>
    <t>5.7</t>
  </si>
  <si>
    <t>FUR ITEM</t>
  </si>
  <si>
    <t>PIEL DE CONEJO SUBLIMADO</t>
  </si>
  <si>
    <t>2.5</t>
  </si>
  <si>
    <t>BRU 145</t>
  </si>
  <si>
    <t>PINILLA COLORES</t>
  </si>
  <si>
    <t>PSJ 334H</t>
  </si>
  <si>
    <t>PITHAYA COLORES</t>
  </si>
  <si>
    <t>POLY LICRA DE BANO</t>
  </si>
  <si>
    <t>POLY LICRA / SUBLIMADO - COLORES</t>
  </si>
  <si>
    <t>RIB / SUBLIMADO - COLORES</t>
  </si>
  <si>
    <t>3.2</t>
  </si>
  <si>
    <t>SAT 001</t>
  </si>
  <si>
    <t>SATIN COLORES</t>
  </si>
  <si>
    <t>6.6</t>
  </si>
  <si>
    <t>SATIN SUBLIMADO</t>
  </si>
  <si>
    <t>SCUBA CREPE / SUBLIMADO - COLORES</t>
  </si>
  <si>
    <t>2.6</t>
  </si>
  <si>
    <t>CAMISERO 3</t>
  </si>
  <si>
    <t>SEDA MANGO</t>
  </si>
  <si>
    <t>VLV 003</t>
  </si>
  <si>
    <t>SUAVETINA</t>
  </si>
  <si>
    <t>2.3</t>
  </si>
  <si>
    <t>TACTEL</t>
  </si>
  <si>
    <t>TACTEL / SUBLIMADO - COLORES</t>
  </si>
  <si>
    <t>TELA CAMISA</t>
  </si>
  <si>
    <t>TELA CAMISA COLORES</t>
  </si>
  <si>
    <t>6.5</t>
  </si>
  <si>
    <t>TELA CAMISA SUBLIMADO</t>
  </si>
  <si>
    <t>2.4</t>
  </si>
  <si>
    <t>4.8</t>
  </si>
  <si>
    <t>PCFT327-1</t>
  </si>
  <si>
    <t>UVITA COLORES/SUBLIMADA</t>
  </si>
  <si>
    <t>1.95</t>
  </si>
  <si>
    <t>WAP008</t>
  </si>
  <si>
    <t>VELVET</t>
  </si>
  <si>
    <t>RIBI 202</t>
  </si>
  <si>
    <t>WP320</t>
  </si>
  <si>
    <t>NOSARA</t>
  </si>
  <si>
    <t>PCFT299-1</t>
  </si>
  <si>
    <t>JBA132</t>
  </si>
  <si>
    <t>JBA149</t>
  </si>
  <si>
    <t>3.7</t>
  </si>
  <si>
    <t>JBA348</t>
  </si>
  <si>
    <t>ST63514</t>
  </si>
  <si>
    <t>2.56</t>
  </si>
  <si>
    <t>JBA175</t>
  </si>
  <si>
    <t>JBA322</t>
  </si>
  <si>
    <t>WP489-1F</t>
  </si>
  <si>
    <t>ANTIFLUIDO UNIFORME</t>
  </si>
  <si>
    <t>VLV298-3</t>
  </si>
  <si>
    <t>TRP1053</t>
  </si>
  <si>
    <t>2.15</t>
  </si>
  <si>
    <t>PCFT203-6</t>
  </si>
  <si>
    <t>2.58</t>
  </si>
  <si>
    <t>MS004</t>
  </si>
  <si>
    <t>MESH</t>
  </si>
  <si>
    <t>7.17</t>
  </si>
  <si>
    <t>PD1587-3</t>
  </si>
  <si>
    <t>2.38</t>
  </si>
  <si>
    <t>SAT 170</t>
  </si>
  <si>
    <t>6.18</t>
  </si>
  <si>
    <t>RIB1447-2</t>
  </si>
  <si>
    <t>JC8358</t>
  </si>
  <si>
    <t>2.68</t>
  </si>
  <si>
    <t>ST63051</t>
  </si>
  <si>
    <t>3.06</t>
  </si>
  <si>
    <t>ST62384</t>
  </si>
  <si>
    <t>ST63415</t>
  </si>
  <si>
    <t>RIB RAYAS 2*2</t>
  </si>
  <si>
    <t>3.33</t>
  </si>
  <si>
    <t>ST20928</t>
  </si>
  <si>
    <t>4.55</t>
  </si>
  <si>
    <t>SEDA MANGO NUEVO</t>
  </si>
  <si>
    <t>5.72</t>
  </si>
  <si>
    <t>ST63159</t>
  </si>
  <si>
    <t>2.49</t>
  </si>
  <si>
    <t>PSJ599</t>
  </si>
  <si>
    <t>ST63471</t>
  </si>
  <si>
    <t>ST62102</t>
  </si>
  <si>
    <t>3.03</t>
  </si>
  <si>
    <t>SUAVETINA NUEVA</t>
  </si>
  <si>
    <t>2.46</t>
  </si>
  <si>
    <t>PLAIT JQD</t>
  </si>
  <si>
    <t>2.64</t>
  </si>
  <si>
    <t>ST62199</t>
  </si>
  <si>
    <t>3.18</t>
  </si>
  <si>
    <t>ST62971</t>
  </si>
  <si>
    <t>JT7859</t>
  </si>
  <si>
    <t>ST62286</t>
  </si>
  <si>
    <t>2.66</t>
  </si>
  <si>
    <t>JC8500-1</t>
  </si>
  <si>
    <t>2.39</t>
  </si>
  <si>
    <t>JC8489-2</t>
  </si>
  <si>
    <t>BRUSH UNICOLOR</t>
  </si>
  <si>
    <t>PRECIO X ROLLO</t>
  </si>
  <si>
    <t>N/A</t>
  </si>
  <si>
    <t>STANDARD SUBLIMADO</t>
  </si>
  <si>
    <t>ANTIFLUIDO RIGIDO SUBLIMADO</t>
  </si>
  <si>
    <t>PRECIO APROX METRO</t>
  </si>
  <si>
    <t>ANTIFLUIDO LICRADO</t>
  </si>
  <si>
    <t>ANTIFLUIDO LICRADO SUBLIMADO</t>
  </si>
  <si>
    <t>SEDA DE MANGO SUBLIMADO</t>
  </si>
  <si>
    <t>SUAVETINA SUBLIMADO</t>
  </si>
  <si>
    <t>PRECIO KILO</t>
  </si>
  <si>
    <t>BRUSH BLANCO</t>
  </si>
  <si>
    <t>BRUSH CRUDO</t>
  </si>
  <si>
    <t>SEDA DE MANGO UNICOLOR</t>
  </si>
  <si>
    <t>SEDA DE MANGO BLANCO Y NEGRO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</si>
</sst>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-&quot;$&quot;\ * #,##0.00_-;\-&quot;$&quot;\ * #,##0.00_-;_-&quot;$&quot;\ * &quot;-&quot;??_-;_-@_-"/>
    <numFmt numFmtId="164" formatCode="[$-10C0A]#,##0.00"/>
    <numFmt numFmtId="165" formatCode="_-&quot;$&quot;\ * #,##0_-;\-&quot;$&quot;\ * #,##0_-;_-&quot;$&quot;\ * &quot;-&quot;??_-;_-@_-"/>
  </numFmts>
  <fonts count="11">
    <font>
      <sz val="11"/>
      <color rgb="FF000000"/>
      <name val="Calibri"/>
      <family val="2"/>
      <scheme val="minor"/>
    </font>
    <font>
      <sz val="11"/>
      <name val="Calibri"/>
    </font>
    <font>
      <b/>
      <sz val="7"/>
      <color rgb="FF000000"/>
      <name val="Arial"/>
    </font>
    <font>
      <sz val="8"/>
      <color rgb="FF000000"/>
      <name val="Arial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11"/>
      <name val="Calibri"/>
      <family val="2"/>
    </font>
    <font>
      <sz val="10"/>
      <name val="Calibri"/>
      <family val="2"/>
    </font>
    <font>
      <b/>
      <sz val="10"/>
      <color rgb="FF000000"/>
      <name val="Arial"/>
      <family val="2"/>
    </font>
    <font>
      <b/>
      <sz val="12"/>
      <name val="Calibri"/>
      <family val="2"/>
    </font>
    <font>
      <sz val="12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44">
    <xf numFmtId="0" fontId="1" fillId="0" borderId="0" xfId="0" applyFont="1" applyFill="1" applyBorder="1"/>
    <xf numFmtId="0" fontId="1" fillId="0" borderId="0" xfId="0" applyFont="1" applyFill="1" applyBorder="1" applyAlignment="1">
      <alignment vertical="center"/>
    </xf>
    <xf numFmtId="0" fontId="3" fillId="0" borderId="0" xfId="0" applyNumberFormat="1" applyFont="1" applyFill="1" applyBorder="1" applyAlignment="1">
      <alignment horizontal="center" vertical="center" wrapText="1" readingOrder="1"/>
    </xf>
    <xf numFmtId="0" fontId="3" fillId="0" borderId="0" xfId="0" applyNumberFormat="1" applyFont="1" applyFill="1" applyBorder="1" applyAlignment="1">
      <alignment horizontal="left" vertical="center" wrapText="1" readingOrder="1"/>
    </xf>
    <xf numFmtId="164" fontId="3" fillId="0" borderId="0" xfId="0" applyNumberFormat="1" applyFont="1" applyFill="1" applyBorder="1" applyAlignment="1">
      <alignment horizontal="center" vertical="center" wrapText="1" readingOrder="1"/>
    </xf>
    <xf numFmtId="0" fontId="2" fillId="0" borderId="1" xfId="0" applyNumberFormat="1" applyFont="1" applyFill="1" applyBorder="1" applyAlignment="1">
      <alignment horizontal="center" vertical="center" wrapText="1" readingOrder="1"/>
    </xf>
    <xf numFmtId="0" fontId="3" fillId="0" borderId="1" xfId="0" applyNumberFormat="1" applyFont="1" applyFill="1" applyBorder="1" applyAlignment="1">
      <alignment horizontal="center" vertical="center" wrapText="1" readingOrder="1"/>
    </xf>
    <xf numFmtId="0" fontId="3" fillId="0" borderId="1" xfId="0" applyNumberFormat="1" applyFont="1" applyFill="1" applyBorder="1" applyAlignment="1">
      <alignment horizontal="left" vertical="center" wrapText="1" readingOrder="1"/>
    </xf>
    <xf numFmtId="164" fontId="3" fillId="0" borderId="1" xfId="0" applyNumberFormat="1" applyFont="1" applyFill="1" applyBorder="1" applyAlignment="1">
      <alignment horizontal="center" vertical="center" wrapText="1" readingOrder="1"/>
    </xf>
    <xf numFmtId="0" fontId="1" fillId="0" borderId="1" xfId="0" applyFont="1" applyFill="1" applyBorder="1" applyAlignment="1">
      <alignment vertical="center"/>
    </xf>
    <xf numFmtId="0" fontId="1" fillId="0" borderId="0" xfId="0" pivotButton="1" applyFont="1" applyFill="1" applyBorder="1"/>
    <xf numFmtId="0" fontId="1" fillId="0" borderId="0" xfId="0" applyFont="1" applyFill="1" applyBorder="1" applyAlignment="1">
      <alignment horizontal="left"/>
    </xf>
    <xf numFmtId="0" fontId="1" fillId="0" borderId="0" xfId="0" applyNumberFormat="1" applyFont="1" applyFill="1" applyBorder="1"/>
    <xf numFmtId="165" fontId="1" fillId="0" borderId="1" xfId="1" applyNumberFormat="1" applyFont="1" applyFill="1" applyBorder="1" applyAlignment="1">
      <alignment vertical="center"/>
    </xf>
    <xf numFmtId="165" fontId="1" fillId="0" borderId="0" xfId="0" applyNumberFormat="1" applyFont="1" applyFill="1" applyBorder="1"/>
    <xf numFmtId="165" fontId="1" fillId="0" borderId="0" xfId="0" applyNumberFormat="1" applyFont="1" applyFill="1" applyBorder="1" applyAlignment="1">
      <alignment vertical="center"/>
    </xf>
    <xf numFmtId="0" fontId="1" fillId="2" borderId="0" xfId="0" applyFont="1" applyFill="1" applyBorder="1" applyAlignment="1">
      <alignment horizontal="left"/>
    </xf>
    <xf numFmtId="165" fontId="1" fillId="2" borderId="0" xfId="0" applyNumberFormat="1" applyFont="1" applyFill="1" applyBorder="1"/>
    <xf numFmtId="0" fontId="1" fillId="3" borderId="0" xfId="0" applyFont="1" applyFill="1" applyBorder="1" applyAlignment="1">
      <alignment horizontal="left"/>
    </xf>
    <xf numFmtId="165" fontId="1" fillId="3" borderId="0" xfId="0" applyNumberFormat="1" applyFont="1" applyFill="1" applyBorder="1"/>
    <xf numFmtId="0" fontId="7" fillId="0" borderId="0" xfId="0" applyFont="1" applyFill="1" applyBorder="1"/>
    <xf numFmtId="0" fontId="8" fillId="4" borderId="1" xfId="0" applyFont="1" applyFill="1" applyBorder="1" applyAlignment="1">
      <alignment horizontal="center" wrapText="1"/>
    </xf>
    <xf numFmtId="0" fontId="8" fillId="4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wrapText="1"/>
    </xf>
    <xf numFmtId="0" fontId="5" fillId="0" borderId="1" xfId="0" applyFont="1" applyFill="1" applyBorder="1" applyAlignment="1">
      <alignment vertical="center" wrapText="1"/>
    </xf>
    <xf numFmtId="2" fontId="1" fillId="0" borderId="0" xfId="0" applyNumberFormat="1" applyFont="1" applyFill="1" applyBorder="1"/>
    <xf numFmtId="0" fontId="6" fillId="0" borderId="0" xfId="0" applyFont="1" applyFill="1" applyBorder="1" applyAlignment="1">
      <alignment horizontal="left"/>
    </xf>
    <xf numFmtId="0" fontId="9" fillId="0" borderId="1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vertical="center"/>
    </xf>
    <xf numFmtId="0" fontId="10" fillId="0" borderId="1" xfId="0" applyFont="1" applyFill="1" applyBorder="1" applyAlignment="1">
      <alignment horizontal="left" vertical="center"/>
    </xf>
    <xf numFmtId="165" fontId="10" fillId="0" borderId="1" xfId="0" applyNumberFormat="1" applyFont="1" applyFill="1" applyBorder="1" applyAlignment="1">
      <alignment vertical="center"/>
    </xf>
    <xf numFmtId="165" fontId="10" fillId="0" borderId="1" xfId="0" applyNumberFormat="1" applyFont="1" applyFill="1" applyBorder="1" applyAlignment="1">
      <alignment horizontal="center" vertical="center"/>
    </xf>
    <xf numFmtId="2" fontId="10" fillId="0" borderId="1" xfId="0" applyNumberFormat="1" applyFont="1" applyFill="1" applyBorder="1" applyAlignment="1">
      <alignment vertical="center"/>
    </xf>
    <xf numFmtId="165" fontId="10" fillId="0" borderId="0" xfId="0" applyNumberFormat="1" applyFont="1" applyFill="1" applyBorder="1" applyAlignment="1">
      <alignment vertical="center"/>
    </xf>
    <xf numFmtId="0" fontId="10" fillId="0" borderId="1" xfId="0" applyFont="1" applyFill="1" applyBorder="1" applyAlignment="1">
      <alignment horizontal="left"/>
    </xf>
    <xf numFmtId="165" fontId="10" fillId="0" borderId="1" xfId="0" applyNumberFormat="1" applyFont="1" applyFill="1" applyBorder="1"/>
    <xf numFmtId="165" fontId="10" fillId="0" borderId="0" xfId="1" applyNumberFormat="1" applyFont="1" applyFill="1" applyBorder="1" applyAlignment="1">
      <alignment vertical="center"/>
    </xf>
    <xf numFmtId="0" fontId="10" fillId="2" borderId="1" xfId="0" applyFont="1" applyFill="1" applyBorder="1" applyAlignment="1">
      <alignment horizontal="left" vertical="center"/>
    </xf>
    <xf numFmtId="165" fontId="10" fillId="2" borderId="1" xfId="0" applyNumberFormat="1" applyFont="1" applyFill="1" applyBorder="1" applyAlignment="1">
      <alignment vertical="center"/>
    </xf>
    <xf numFmtId="165" fontId="10" fillId="2" borderId="1" xfId="0" applyNumberFormat="1" applyFont="1" applyFill="1" applyBorder="1" applyAlignment="1">
      <alignment horizontal="center" vertical="center"/>
    </xf>
    <xf numFmtId="2" fontId="10" fillId="2" borderId="1" xfId="0" applyNumberFormat="1" applyFont="1" applyFill="1" applyBorder="1" applyAlignment="1">
      <alignment vertical="center"/>
    </xf>
    <xf numFmtId="0" fontId="10" fillId="2" borderId="1" xfId="0" applyFont="1" applyFill="1" applyBorder="1" applyAlignment="1">
      <alignment horizontal="left"/>
    </xf>
    <xf numFmtId="165" fontId="10" fillId="2" borderId="1" xfId="0" applyNumberFormat="1" applyFont="1" applyFill="1" applyBorder="1"/>
  </cellXfs>
  <cellStyles count="2">
    <cellStyle name="Moneda" xfId="1" builtinId="4"/>
    <cellStyle name="Normal" xfId="0" builtinId="0"/>
  </cellStyles>
  <dxfs count="18">
    <dxf>
      <numFmt numFmtId="165" formatCode="_-&quot;$&quot;\ * #,##0_-;\-&quot;$&quot;\ * #,##0_-;_-&quot;$&quot;\ * &quot;-&quot;??_-;_-@_-"/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5" formatCode="_-&quot;$&quot;\ * #,##0_-;\-&quot;$&quot;\ * #,##0_-;_-&quot;$&quot;\ * &quot;-&quot;??_-;_-@_-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TELAS REAL" refreshedDate="46017.741933680554" createdVersion="6" refreshedVersion="6" minRefreshableVersion="3" recordCount="434">
  <cacheSource type="worksheet">
    <worksheetSource ref="A1:E1048576" sheet="INVENTARIO T5"/>
  </cacheSource>
  <cacheFields count="5">
    <cacheField name="REFERENCIA" numFmtId="0">
      <sharedItems containsBlank="1"/>
    </cacheField>
    <cacheField name="DETALLE" numFmtId="0">
      <sharedItems containsBlank="1"/>
    </cacheField>
    <cacheField name="EXISTENCIA" numFmtId="0">
      <sharedItems containsString="0" containsBlank="1" containsNumber="1" minValue="-8.0879999999999992" maxValue="8406.5540000000001"/>
    </cacheField>
    <cacheField name="CATEGORIA" numFmtId="0">
      <sharedItems containsBlank="1" count="61">
        <s v="STANDARD"/>
        <s v="STANDARD SUBLIMADO"/>
        <s v="BRUSH"/>
        <s v="ACETATO"/>
        <s v="ANTIFLUIDO RIGIDO"/>
        <s v="CARTAGO"/>
        <s v="CHIFON CREPE"/>
        <s v="CREPE"/>
        <s v="GRANITO DE ARROZ 190G"/>
        <s v="LICRA DEPORTIVA"/>
        <s v="LINO CABUYA"/>
        <s v="LINO CAHUITA"/>
        <s v="LINO POLIESTER"/>
        <s v="POLY LICRA"/>
        <s v="RIB"/>
        <s v="SATIN"/>
        <s v="SEDA DE MANGO"/>
        <s v="UVITA"/>
        <s v="WAFER"/>
        <s v="TERCIOPELO LICRADO"/>
        <s v="PITHAYA"/>
        <s v="BRUSH SUBLIMADO"/>
        <s v="ANTIFLUIDO RIGIDO SUBLIMADO"/>
        <s v="ANTIFLUIDO LICRADO"/>
        <s v="SATIN SUBLIMADO"/>
        <s v="SEDA DE MANGO SUBLIMADO"/>
        <s v="SATIN PERLA"/>
        <s v="JAQUARD FLORES"/>
        <s v="SATIN CRISPO"/>
        <s v="JAQUARD CRUCES"/>
        <s v="JAQUARD GAIA"/>
        <s v="RIB PITILLO"/>
        <s v="CAMISETA PRO"/>
        <s v="CAMISETA TERRY"/>
        <s v="CHIRRIPO"/>
        <s v="CONCHAL"/>
        <s v="JAQUARD ZIG ZAG"/>
        <s v="JAQUARD B"/>
        <s v="JAQUARD LINEAS"/>
        <s v="JAQUARD CONFORT"/>
        <s v="JAQUARD CONJUNTO"/>
        <s v="LANILLA WAFFLE"/>
        <s v="MANZANILLO"/>
        <s v="PINILLA"/>
        <s v="PLUSH"/>
        <s v="RIB 2*2"/>
        <s v="SAVEGRE"/>
        <s v="SCUBA CREPE"/>
        <s v="PIEL DE CONEJO SUBLIMADO"/>
        <s v="TWILL PIQUE"/>
        <s v="WAFFLE NIDO DE ABEJA"/>
        <s v="JAQUARD TRIBAL"/>
        <s v="TAMARINDO"/>
        <s v="JAQUARD NUDO"/>
        <s v="JAQUARD TRENZA"/>
        <s v="JAQAURD FIT"/>
        <s v="MONTEZUMA"/>
        <s v="IRAZU"/>
        <s v="DOMINICAL"/>
        <m/>
        <s v="PIEL DE CONEJO" u="1"/>
      </sharedItems>
    </cacheField>
    <cacheField name="PRECIO X KILO" numFmtId="0">
      <sharedItems containsString="0" containsBlank="1" containsNumber="1" containsInteger="1" minValue="18750" maxValue="87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34">
  <r>
    <s v="2000100270001"/>
    <s v="KILO STANDARD AZUL CIELO C#45"/>
    <n v="45.5"/>
    <x v="0"/>
    <n v="22900"/>
  </r>
  <r>
    <s v="2000100270002"/>
    <s v="KILO STANDARD AZUL REY C#19"/>
    <n v="48.6"/>
    <x v="0"/>
    <n v="22900"/>
  </r>
  <r>
    <s v="2000100270003"/>
    <s v="KILO STANDARD BLANCO C#24"/>
    <n v="95.649000000000001"/>
    <x v="0"/>
    <n v="21900"/>
  </r>
  <r>
    <s v="2000100270004"/>
    <s v="KILO STANDARD FUCSIA C#9"/>
    <n v="49.6"/>
    <x v="0"/>
    <n v="22900"/>
  </r>
  <r>
    <s v="2000100270005"/>
    <s v="KILO STANDARD LILA C#42"/>
    <n v="49.6"/>
    <x v="0"/>
    <n v="22900"/>
  </r>
  <r>
    <s v="2000100270006"/>
    <s v="KILO STANDARD MOCHA CHOCOLATE C#77"/>
    <n v="48.3"/>
    <x v="0"/>
    <n v="22900"/>
  </r>
  <r>
    <s v="2000100270007"/>
    <s v="KILO STANDARD NEGRO C#23"/>
    <n v="94.382000000000005"/>
    <x v="0"/>
    <n v="22900"/>
  </r>
  <r>
    <s v="2000100270008"/>
    <s v="KILO STANDARD ROJO BRILLANTE C#72"/>
    <n v="43.475999999999999"/>
    <x v="0"/>
    <n v="22900"/>
  </r>
  <r>
    <s v="2000100270009"/>
    <s v="KILO STANDARD ROSA SUAVE C#75"/>
    <n v="23.498999999999999"/>
    <x v="0"/>
    <n v="22900"/>
  </r>
  <r>
    <s v="2000100270010"/>
    <s v="KILO STANDARD ROSADO C#1"/>
    <n v="20.802"/>
    <x v="0"/>
    <n v="22900"/>
  </r>
  <r>
    <s v="2000100270011"/>
    <s v="KILO STANDARD TAUPE DUST C#69"/>
    <n v="48.1"/>
    <x v="0"/>
    <n v="22900"/>
  </r>
  <r>
    <s v="2000100270012"/>
    <s v="KILO STANDARD VERDE OSCURO C#14"/>
    <n v="43.893999999999998"/>
    <x v="0"/>
    <n v="22900"/>
  </r>
  <r>
    <s v="2000100270013"/>
    <s v="KILO STANDARD SUBLIMADO"/>
    <n v="1672.6489999999999"/>
    <x v="1"/>
    <n v="33500"/>
  </r>
  <r>
    <s v="2000100800001"/>
    <s v="BRUSH X KILO LIGHT MELANGE C#39"/>
    <n v="39.118000000000002"/>
    <x v="2"/>
    <n v="35700"/>
  </r>
  <r>
    <s v="2000100800002"/>
    <s v="BRUSH X KILO DARK MELANGE C#40"/>
    <n v="134.36500000000001"/>
    <x v="2"/>
    <n v="35700"/>
  </r>
  <r>
    <s v="2000100800003"/>
    <s v="BRUSH X KILO TERRACOTA C#52"/>
    <n v="104.5"/>
    <x v="2"/>
    <n v="35700"/>
  </r>
  <r>
    <s v="2000100800004"/>
    <s v="BRUSH X KILO MOSTAZA C#11"/>
    <n v="44"/>
    <x v="2"/>
    <n v="35700"/>
  </r>
  <r>
    <s v="2000100800005"/>
    <s v="BRUSH X KILO BLANCO C#24"/>
    <n v="611.50800000000004"/>
    <x v="2"/>
    <n v="35700"/>
  </r>
  <r>
    <s v="2000100800006"/>
    <s v="BRUSH X KILO PALO ROSA C#6"/>
    <n v="52.762999999999998"/>
    <x v="2"/>
    <n v="35700"/>
  </r>
  <r>
    <s v="2000100800007"/>
    <s v="BRUSH X KILO MOCHA C#71"/>
    <n v="75.8"/>
    <x v="2"/>
    <n v="35700"/>
  </r>
  <r>
    <s v="2000100800008"/>
    <s v="BRUSH X KILO VERDE MILITAR C#15"/>
    <n v="63.902999999999999"/>
    <x v="2"/>
    <n v="35700"/>
  </r>
  <r>
    <s v="2000100800009"/>
    <s v="BRUSH X KILO ROJO C#18"/>
    <n v="60.8"/>
    <x v="2"/>
    <n v="35700"/>
  </r>
  <r>
    <s v="2000100800010"/>
    <s v="BRUSH X KILO NEGRO C#23"/>
    <n v="570.97299999999996"/>
    <x v="2"/>
    <n v="35700"/>
  </r>
  <r>
    <s v="2000100800011"/>
    <s v="BRUSH X KILO CRUDO PFD"/>
    <n v="316.15699999999998"/>
    <x v="2"/>
    <n v="34000"/>
  </r>
  <r>
    <s v="2000100800012"/>
    <s v="BRUSH X KILO VINO TINTO C#30"/>
    <n v="67.724999999999994"/>
    <x v="2"/>
    <n v="35700"/>
  </r>
  <r>
    <s v="2000100800013"/>
    <s v="BRUSH X KILO NARANJA BRUSH C#67"/>
    <n v="43.9"/>
    <x v="2"/>
    <n v="35700"/>
  </r>
  <r>
    <s v="2000100800014"/>
    <s v="BRUSH X KILO LIMA BRUSH C#64"/>
    <n v="44.610999999999997"/>
    <x v="2"/>
    <n v="35700"/>
  </r>
  <r>
    <s v="2000100800015"/>
    <s v="BRUSH X KILO TURQUESA C#33"/>
    <n v="64.135999999999996"/>
    <x v="2"/>
    <n v="35700"/>
  </r>
  <r>
    <s v="2000100800016"/>
    <s v="BRUSH X KILO ROSADO C#1"/>
    <n v="0"/>
    <x v="2"/>
    <n v="35700"/>
  </r>
  <r>
    <s v="2000100800017"/>
    <s v="BRUSH X KILO MORADO C#43"/>
    <n v="65.22"/>
    <x v="2"/>
    <n v="35700"/>
  </r>
  <r>
    <s v="2000100800018"/>
    <s v="BRUSH X KILO AMARILLO BEBE C#55"/>
    <n v="65.320999999999998"/>
    <x v="2"/>
    <n v="35700"/>
  </r>
  <r>
    <s v="2000100800019"/>
    <s v="BRUSH X KILO TAUPE DUST BRUSH C#69"/>
    <n v="0"/>
    <x v="2"/>
    <n v="35700"/>
  </r>
  <r>
    <s v="2000100800020"/>
    <s v="BRUSH X KILO CAFE CON LECHE C#112"/>
    <n v="45.5"/>
    <x v="2"/>
    <n v="35700"/>
  </r>
  <r>
    <s v="2000100800021"/>
    <s v="BRUSH X KILO UVA C#111"/>
    <n v="66.900000000000006"/>
    <x v="2"/>
    <n v="35700"/>
  </r>
  <r>
    <s v="2000100800022"/>
    <s v="BRUSH X KILO AZUL PETROLEO C#22"/>
    <n v="0"/>
    <x v="2"/>
    <n v="35700"/>
  </r>
  <r>
    <s v="2000100800023"/>
    <s v="BRUSH X KILO VERDE OLIVO C#44"/>
    <n v="0"/>
    <x v="2"/>
    <n v="35700"/>
  </r>
  <r>
    <s v="2000100800024"/>
    <s v="BRUSH X KILO VERDE OSCURO C#14"/>
    <n v="0"/>
    <x v="2"/>
    <n v="35700"/>
  </r>
  <r>
    <s v="2000100800025"/>
    <s v="BRUSH X KILO ARABESCO C#78"/>
    <n v="67.63"/>
    <x v="2"/>
    <n v="35700"/>
  </r>
  <r>
    <s v="2000100800026"/>
    <s v="BRUSH X KILO MENTA OSCURO BRUSH C#63"/>
    <n v="49.9"/>
    <x v="2"/>
    <n v="35700"/>
  </r>
  <r>
    <s v="2000100800027"/>
    <s v="BRUSH X KILO FUCSIA C#9"/>
    <n v="0"/>
    <x v="2"/>
    <n v="35700"/>
  </r>
  <r>
    <s v="2000100800028"/>
    <s v="BRUSH X KILO CREMA DE LIMA C#78"/>
    <n v="0"/>
    <x v="2"/>
    <n v="35700"/>
  </r>
  <r>
    <s v="2000100800029"/>
    <s v="BRUSH X KILO AZUL REY C#19"/>
    <n v="65.671000000000006"/>
    <x v="2"/>
    <n v="35700"/>
  </r>
  <r>
    <s v="2000100800030"/>
    <s v="BRUSH X KILO FLOR DE DESIERTO C#74"/>
    <n v="0"/>
    <x v="2"/>
    <n v="35700"/>
  </r>
  <r>
    <s v="2000100800031"/>
    <s v="BRUSH X KILO MOSTAZA PICANTE C#81"/>
    <n v="0"/>
    <x v="2"/>
    <n v="35700"/>
  </r>
  <r>
    <s v="2000100800032"/>
    <s v="BRUSH X KILO VERDE IGUANA C#76"/>
    <n v="0"/>
    <x v="2"/>
    <n v="35700"/>
  </r>
  <r>
    <s v="2000100800033"/>
    <s v="BRUSH X KILO MOCHA MOUSSE C#79"/>
    <n v="0"/>
    <x v="2"/>
    <n v="35700"/>
  </r>
  <r>
    <s v="2000100800034"/>
    <s v="BRUSH X KILO VERDE CALI C#12"/>
    <n v="90.2"/>
    <x v="2"/>
    <n v="35700"/>
  </r>
  <r>
    <s v="2000100800035"/>
    <s v="BRUSH X KILO VERDE MENTA C#34"/>
    <n v="0"/>
    <x v="2"/>
    <n v="35700"/>
  </r>
  <r>
    <s v="2000100800036"/>
    <s v="BRUSH X KILO PALO ROSA CLARO C#3"/>
    <n v="33.64"/>
    <x v="2"/>
    <n v="35700"/>
  </r>
  <r>
    <s v="2000100800037"/>
    <s v="BRUSH X KILO AMARILLO COLOMBIA #36"/>
    <n v="0"/>
    <x v="2"/>
    <n v="35700"/>
  </r>
  <r>
    <s v="2000100800038"/>
    <s v="BRUSH X KILO ROJO BRILLANTE C#72"/>
    <n v="0.29799999999999999"/>
    <x v="2"/>
    <n v="35700"/>
  </r>
  <r>
    <s v="2000100800039"/>
    <s v="BRUSH X KILO AZUL CIELO C#45"/>
    <n v="89.6"/>
    <x v="2"/>
    <n v="35700"/>
  </r>
  <r>
    <s v="2000100800040"/>
    <s v="BRUSH X KILO GRIS CLARO C#54"/>
    <n v="87.887"/>
    <x v="2"/>
    <n v="35700"/>
  </r>
  <r>
    <s v="2000100800041"/>
    <s v="BRUSH X KILO GRIS OSCURO C#46"/>
    <n v="86.459000000000003"/>
    <x v="2"/>
    <n v="35700"/>
  </r>
  <r>
    <s v="2000100800042"/>
    <s v="BRUSH X KILO LILA C#42"/>
    <n v="83.006"/>
    <x v="2"/>
    <n v="35700"/>
  </r>
  <r>
    <s v="2000100800043"/>
    <s v="KILO ACETATO CRUDO PFD"/>
    <n v="0"/>
    <x v="3"/>
    <n v="26400"/>
  </r>
  <r>
    <s v="2000100800044"/>
    <s v="KILO ACETATO BLANCO C#24"/>
    <n v="46"/>
    <x v="3"/>
    <n v="26400"/>
  </r>
  <r>
    <s v="2000100800045"/>
    <s v="KILO ACETATO NEGRO C#23"/>
    <n v="20.122"/>
    <x v="3"/>
    <n v="26400"/>
  </r>
  <r>
    <s v="2000100800046"/>
    <s v="KILO ACETATO AZUL REY C#19"/>
    <n v="23.2"/>
    <x v="3"/>
    <n v="21400"/>
  </r>
  <r>
    <s v="2000100800047"/>
    <s v="KILO ACETATO LILA C#42"/>
    <n v="23"/>
    <x v="3"/>
    <n v="21400"/>
  </r>
  <r>
    <s v="2000100800048"/>
    <s v="KILO ACETATO AZUL CIELO C#45"/>
    <n v="23"/>
    <x v="3"/>
    <n v="21400"/>
  </r>
  <r>
    <s v="2000100800049"/>
    <s v="KILO ACETATO ROJO BRILLANTE C#72"/>
    <n v="0"/>
    <x v="3"/>
    <n v="21400"/>
  </r>
  <r>
    <s v="2000100800050"/>
    <s v="KILO ACETATO MORADO C#43"/>
    <n v="23.8"/>
    <x v="3"/>
    <n v="21400"/>
  </r>
  <r>
    <s v="2000100800051"/>
    <s v="KILO ACETATO GRIS OSCURO C#46"/>
    <n v="0"/>
    <x v="3"/>
    <n v="21400"/>
  </r>
  <r>
    <s v="2000100800052"/>
    <s v="KILO ACETATO GRIS CLARO C#54"/>
    <n v="0"/>
    <x v="3"/>
    <n v="21400"/>
  </r>
  <r>
    <s v="2000100800053"/>
    <s v="KILO ANTIFLUIDO CRUDO"/>
    <n v="0"/>
    <x v="4"/>
    <n v="42000"/>
  </r>
  <r>
    <s v="2000100800054"/>
    <s v="KILO ANTIFLUIDO AZUL OSCURO C#21"/>
    <n v="0"/>
    <x v="4"/>
    <n v="27300"/>
  </r>
  <r>
    <s v="2000100800055"/>
    <s v="KILO ANTIFLUIDO VERDE MILITAR C#15"/>
    <n v="0"/>
    <x v="4"/>
    <n v="27300"/>
  </r>
  <r>
    <s v="2000100800056"/>
    <s v="KILO ANTIFLUIDO CORAL C#8"/>
    <n v="0"/>
    <x v="4"/>
    <n v="27300"/>
  </r>
  <r>
    <s v="2000100800057"/>
    <s v="KILO ANTIFLUIDO FUCSIA C#9"/>
    <n v="0"/>
    <x v="4"/>
    <n v="27300"/>
  </r>
  <r>
    <s v="2000100800058"/>
    <s v="KILO CARTAGO AZUL REY C#19"/>
    <n v="45.8"/>
    <x v="5"/>
    <n v="32400"/>
  </r>
  <r>
    <s v="2000100800059"/>
    <s v="KILO CARTAGO AZUL OSCURO C#21"/>
    <n v="44.8"/>
    <x v="5"/>
    <n v="32400"/>
  </r>
  <r>
    <s v="2000100800060"/>
    <s v="KILO CARTAGO MOCHA CHOCOLATE C#77"/>
    <n v="0"/>
    <x v="5"/>
    <n v="32400"/>
  </r>
  <r>
    <s v="2000100800061"/>
    <s v="KILO CARTAGO TAUPE C#49"/>
    <n v="0"/>
    <x v="5"/>
    <n v="32400"/>
  </r>
  <r>
    <s v="2000100800062"/>
    <s v="KILO CARTAGO VERDE OSCURO C#14"/>
    <n v="13.5"/>
    <x v="5"/>
    <n v="32400"/>
  </r>
  <r>
    <s v="2000100800063"/>
    <s v="KILO CARTAGO LIGHT MELANGE C#39"/>
    <n v="0"/>
    <x v="5"/>
    <n v="32400"/>
  </r>
  <r>
    <s v="2000100800064"/>
    <s v="KILO CARTAGO BLANCO C#24"/>
    <n v="0"/>
    <x v="5"/>
    <n v="32400"/>
  </r>
  <r>
    <s v="2000100800065"/>
    <s v="KILO CHIFON CREPE TERRACOTA C#52"/>
    <n v="48.5"/>
    <x v="6"/>
    <n v="28500"/>
  </r>
  <r>
    <s v="2000100800066"/>
    <s v="KILO CHIFON CREPE ROJO C#18"/>
    <n v="46.6"/>
    <x v="6"/>
    <n v="38000"/>
  </r>
  <r>
    <s v="2000100800067"/>
    <s v="KILO CHIFON CREPE PALO ROSA C#6"/>
    <n v="48.14"/>
    <x v="6"/>
    <n v="28500"/>
  </r>
  <r>
    <s v="2000100800068"/>
    <s v="KILO CHIFON CREPE VINO TINTO C#30"/>
    <n v="43.941000000000003"/>
    <x v="6"/>
    <n v="38000"/>
  </r>
  <r>
    <s v="2000100800069"/>
    <s v="KILO CHIFON CREPE MOSTAZA C#11"/>
    <n v="42.2"/>
    <x v="6"/>
    <n v="28500"/>
  </r>
  <r>
    <s v="2000100800070"/>
    <s v="KILO CHIFON CREPE AGUA C#32"/>
    <n v="36.200000000000003"/>
    <x v="6"/>
    <n v="28500"/>
  </r>
  <r>
    <s v="2000100800071"/>
    <s v="KILO CHIFON CREPE LIMA C#64"/>
    <n v="37.911999999999999"/>
    <x v="6"/>
    <n v="28500"/>
  </r>
  <r>
    <s v="2000100800072"/>
    <s v="KILO CHIFON CREPE FUCSIA C#9"/>
    <n v="27.5"/>
    <x v="6"/>
    <n v="28500"/>
  </r>
  <r>
    <s v="2000100800073"/>
    <s v="KILO CHIFON CREPE VERDE MILITAR C#15"/>
    <n v="44"/>
    <x v="6"/>
    <n v="28500"/>
  </r>
  <r>
    <s v="2000100800074"/>
    <s v="KILO CHIFON CREPE TURQUESA C#33"/>
    <n v="36.4"/>
    <x v="6"/>
    <n v="28500"/>
  </r>
  <r>
    <s v="2000100800075"/>
    <s v="KILO CHIFON CREPE NARANJA C#67"/>
    <n v="48.9"/>
    <x v="6"/>
    <n v="28500"/>
  </r>
  <r>
    <s v="2000100800076"/>
    <s v="KILO CHIFON CREPE MORADO C#43"/>
    <n v="0"/>
    <x v="6"/>
    <n v="28500"/>
  </r>
  <r>
    <s v="2000100800077"/>
    <s v="KILO CHIFON CREPE SILVER C#54"/>
    <n v="21.9"/>
    <x v="6"/>
    <n v="28500"/>
  </r>
  <r>
    <s v="2000100800078"/>
    <s v="KILO CHIFON CREPE MENTA OSCURO C#63"/>
    <n v="0"/>
    <x v="6"/>
    <n v="28500"/>
  </r>
  <r>
    <s v="2000100800079"/>
    <s v="KILO CHIFON CREPE ROSADO CLARO C#1"/>
    <n v="0"/>
    <x v="6"/>
    <n v="38000"/>
  </r>
  <r>
    <s v="2000100800080"/>
    <s v="KILO CHIFON CREPE AMARILLO CLARO C#55"/>
    <n v="12.6"/>
    <x v="6"/>
    <n v="28500"/>
  </r>
  <r>
    <s v="2000100800081"/>
    <s v="KILO CHIFON CREPE KAKI C#70"/>
    <n v="0"/>
    <x v="6"/>
    <n v="28500"/>
  </r>
  <r>
    <s v="2000100800082"/>
    <s v="KILO CHIFON CREPE MOCHA C#71"/>
    <n v="23.3"/>
    <x v="6"/>
    <n v="28500"/>
  </r>
  <r>
    <s v="2000100800083"/>
    <s v="KILO CREPE ROJO C#18"/>
    <n v="46.6"/>
    <x v="7"/>
    <n v="28500"/>
  </r>
  <r>
    <s v="2000100800084"/>
    <s v="KILO CREPE NEGRO C#23"/>
    <n v="35.606000000000002"/>
    <x v="7"/>
    <n v="38000"/>
  </r>
  <r>
    <s v="2000100800085"/>
    <s v="KILO CREPE AZUL REY C#19"/>
    <n v="56.6"/>
    <x v="7"/>
    <n v="28500"/>
  </r>
  <r>
    <s v="2000100800086"/>
    <s v="KILO CREPE KAKI C#70"/>
    <n v="50.6"/>
    <x v="7"/>
    <n v="28500"/>
  </r>
  <r>
    <s v="2000100800087"/>
    <s v="KILO CREPE VERDE MILITAR C#15"/>
    <n v="52.89"/>
    <x v="7"/>
    <n v="28500"/>
  </r>
  <r>
    <s v="2000100800088"/>
    <s v="KILO CREPE LILA C#42"/>
    <n v="49.3"/>
    <x v="7"/>
    <n v="28500"/>
  </r>
  <r>
    <s v="2000100800089"/>
    <s v="KILO CREPE TERRACOTA C#52"/>
    <n v="55.1"/>
    <x v="7"/>
    <n v="28500"/>
  </r>
  <r>
    <s v="2000100800090"/>
    <s v="KILO CREPE MENTA OSCURO C#63"/>
    <n v="48.2"/>
    <x v="7"/>
    <n v="28500"/>
  </r>
  <r>
    <s v="2000100800091"/>
    <s v="KILO CREPE MOSTAZA C#11"/>
    <n v="51.3"/>
    <x v="7"/>
    <n v="28500"/>
  </r>
  <r>
    <s v="2000100800092"/>
    <s v="KILO CREPE PALO ROSA C#6"/>
    <n v="50.5"/>
    <x v="7"/>
    <n v="28500"/>
  </r>
  <r>
    <s v="2000100800093"/>
    <s v="KILO CREPE BLANCO C#24"/>
    <n v="50.1"/>
    <x v="7"/>
    <n v="38000"/>
  </r>
  <r>
    <s v="2000100800094"/>
    <s v="KILO CREPE TURQUESA C#33"/>
    <n v="58"/>
    <x v="7"/>
    <n v="28500"/>
  </r>
  <r>
    <s v="2000100800095"/>
    <s v="KILO CREPE FUCSIA C#9"/>
    <n v="47.4"/>
    <x v="7"/>
    <n v="28500"/>
  </r>
  <r>
    <s v="2000100800096"/>
    <s v="KILO CREPE TAUPE OSCURO C#69"/>
    <n v="55.145000000000003"/>
    <x v="7"/>
    <n v="28500"/>
  </r>
  <r>
    <s v="2000100800097"/>
    <s v="KILO CREPE MOCHA C#71"/>
    <n v="37.200000000000003"/>
    <x v="7"/>
    <n v="28500"/>
  </r>
  <r>
    <s v="2000100800098"/>
    <s v="KILO CREPE MORADO C#43"/>
    <n v="49.5"/>
    <x v="7"/>
    <n v="28500"/>
  </r>
  <r>
    <s v="2000100800099"/>
    <s v="KILO CREPE GRIS CLARO C#54"/>
    <n v="49.387999999999998"/>
    <x v="7"/>
    <n v="28500"/>
  </r>
  <r>
    <s v="2000100800100"/>
    <s v="KILO CREPE ROSADO CLARO C#1"/>
    <n v="48.9"/>
    <x v="7"/>
    <n v="28500"/>
  </r>
  <r>
    <s v="2000100800101"/>
    <s v="KILO CREPE AGUA C#32"/>
    <n v="49.5"/>
    <x v="7"/>
    <n v="28500"/>
  </r>
  <r>
    <s v="2000100800102"/>
    <s v="KILO CREPE LIMA C#64"/>
    <n v="49.9"/>
    <x v="7"/>
    <n v="28500"/>
  </r>
  <r>
    <s v="2000100800103"/>
    <s v="KILO CREPE NARANJA C#67"/>
    <n v="50.3"/>
    <x v="7"/>
    <n v="28500"/>
  </r>
  <r>
    <s v="2000100800104"/>
    <s v="KILO CREPE VINO TINTO C#30"/>
    <n v="0"/>
    <x v="7"/>
    <n v="28500"/>
  </r>
  <r>
    <s v="2000100800105"/>
    <s v="KILO CREPE AMARILLO BEBE C#55"/>
    <n v="25.6"/>
    <x v="7"/>
    <n v="28500"/>
  </r>
  <r>
    <s v="2000100800106"/>
    <s v="KILO GRANITO DE ARROZ 190G BLANCO C#24"/>
    <n v="89.5"/>
    <x v="8"/>
    <n v="34800"/>
  </r>
  <r>
    <s v="2000100800107"/>
    <s v="KILO GRANITO DE ARROZ 190G NEGRO C#23"/>
    <n v="75.400000000000006"/>
    <x v="8"/>
    <n v="34800"/>
  </r>
  <r>
    <s v="2000100800108"/>
    <s v="KILO GRANITO DE ARROZ 190G TAUPE DUST C#69"/>
    <n v="27.888999999999999"/>
    <x v="8"/>
    <n v="34800"/>
  </r>
  <r>
    <s v="2000100800109"/>
    <s v="KILO GRANITO DE ARROZ 190G KAKI C#70"/>
    <n v="49.156999999999996"/>
    <x v="8"/>
    <n v="34800"/>
  </r>
  <r>
    <s v="2000100800110"/>
    <s v="KILO GRANITO DE ARROZ 190G ROJO BRILLANTE C#72"/>
    <n v="0"/>
    <x v="8"/>
    <n v="34800"/>
  </r>
  <r>
    <s v="2000100800111"/>
    <s v="KILO LICRA DEPORTIVA MENTA OSUCRO C#63"/>
    <n v="50.081000000000003"/>
    <x v="9"/>
    <n v="26200"/>
  </r>
  <r>
    <s v="2000100800112"/>
    <s v="KILO LICRA DEPORTIVA PALO DE ROSA C#6"/>
    <n v="44.4"/>
    <x v="9"/>
    <n v="26200"/>
  </r>
  <r>
    <s v="2000100800113"/>
    <s v="KILO LICRA DEPORTIVA GRIS OSCURO C#46"/>
    <n v="56.9"/>
    <x v="9"/>
    <n v="26200"/>
  </r>
  <r>
    <s v="2000100800114"/>
    <s v="KILO LICRA DEPORTIVA DARK MELANGE C#40"/>
    <n v="48.3"/>
    <x v="9"/>
    <n v="26200"/>
  </r>
  <r>
    <s v="2000100800115"/>
    <s v="KILO LICRA DEPORTIVA AZUL PETROLEO C#22"/>
    <n v="42.98"/>
    <x v="9"/>
    <n v="26200"/>
  </r>
  <r>
    <s v="2000100800116"/>
    <s v="KILO LICRA DEPORTIVA NEW C#4"/>
    <n v="52.1"/>
    <x v="9"/>
    <n v="26200"/>
  </r>
  <r>
    <s v="2000100800117"/>
    <s v="KILO LICRA DEPORTIVA LAVANDA C#41"/>
    <n v="45.1"/>
    <x v="9"/>
    <n v="26200"/>
  </r>
  <r>
    <s v="2000100800118"/>
    <s v="KILO LICRA DEPORTIVA AZUL REY C#19"/>
    <n v="44"/>
    <x v="9"/>
    <n v="26200"/>
  </r>
  <r>
    <s v="2000100800119"/>
    <s v="KILO LICRA DEPORTIVA ROJO BRILLANTE C#72"/>
    <n v="0"/>
    <x v="9"/>
    <n v="26200"/>
  </r>
  <r>
    <s v="2000100800120"/>
    <s v="KILO LINO CABUYA VERDE CALI C#12"/>
    <n v="30.9"/>
    <x v="10"/>
    <n v="30000"/>
  </r>
  <r>
    <s v="2000100800121"/>
    <s v="KILO LINO CABUYA MENTA OSCRO C#63"/>
    <n v="31.2"/>
    <x v="10"/>
    <n v="30000"/>
  </r>
  <r>
    <s v="2000100800122"/>
    <s v="KILO LINO CABUYA KAKI C#70"/>
    <n v="30.8"/>
    <x v="10"/>
    <n v="30000"/>
  </r>
  <r>
    <s v="2000100800123"/>
    <s v="KILO LINO CABUYA ROJO BRILLANTE C#72"/>
    <n v="27.1"/>
    <x v="10"/>
    <n v="30000"/>
  </r>
  <r>
    <s v="2000100800124"/>
    <s v="KILO LINO CABUYA GRIS OSCURO C#46"/>
    <n v="30.8"/>
    <x v="10"/>
    <n v="30000"/>
  </r>
  <r>
    <s v="2000100800125"/>
    <s v="KILO LINO CABUYA AZUL PETROLEO C#22"/>
    <n v="31.4"/>
    <x v="10"/>
    <n v="30000"/>
  </r>
  <r>
    <s v="2000100800126"/>
    <s v="KILO LINO CABUYA AZUL CIELO C#45"/>
    <n v="30.9"/>
    <x v="10"/>
    <n v="30000"/>
  </r>
  <r>
    <s v="2000100800127"/>
    <s v="KILO LINO CABUYA NEGRO C#23"/>
    <n v="0"/>
    <x v="10"/>
    <n v="30000"/>
  </r>
  <r>
    <s v="2000100800128"/>
    <s v="KILO LINO CABUYA BLANCO C#24"/>
    <n v="0"/>
    <x v="10"/>
    <n v="30000"/>
  </r>
  <r>
    <s v="2000100800129"/>
    <s v="KILO LINO CABUYA NARANJA C#67"/>
    <n v="0"/>
    <x v="10"/>
    <n v="30000"/>
  </r>
  <r>
    <s v="2000100800130"/>
    <s v="KILO LINO CABUYA LIMA C#64"/>
    <n v="0"/>
    <x v="10"/>
    <n v="30000"/>
  </r>
  <r>
    <s v="2000100800131"/>
    <s v="KILO LINO CAHUITA KAKI C#70"/>
    <n v="0"/>
    <x v="11"/>
    <n v="32250"/>
  </r>
  <r>
    <s v="2000100800132"/>
    <s v="KILO LINO CAHUITA MOCHA C#71"/>
    <n v="0"/>
    <x v="11"/>
    <n v="32250"/>
  </r>
  <r>
    <s v="2000100800133"/>
    <s v="KILO LINO CAHUITA VERDE CALI C#12"/>
    <n v="35.901000000000003"/>
    <x v="11"/>
    <n v="32250"/>
  </r>
  <r>
    <s v="2000100800134"/>
    <s v="KILO LINO CAHUITA AZUL CIELO C#45"/>
    <n v="29.54"/>
    <x v="11"/>
    <n v="32250"/>
  </r>
  <r>
    <s v="2000100800135"/>
    <s v="KILO LINO CAHUITA AZUL PETROLEO C#22"/>
    <n v="34.698"/>
    <x v="11"/>
    <n v="32250"/>
  </r>
  <r>
    <s v="2000100800136"/>
    <s v="KILO LINO CAHUITA ROJO BRILLANTE C#72"/>
    <n v="33.4"/>
    <x v="11"/>
    <n v="32250"/>
  </r>
  <r>
    <s v="2000100800137"/>
    <s v="KILO LINO CAHUITA PALO ROSA C#6"/>
    <n v="37.1"/>
    <x v="11"/>
    <n v="32250"/>
  </r>
  <r>
    <s v="2000100800138"/>
    <s v="KILO LINO CAHUITA BLANCO C#24"/>
    <n v="0"/>
    <x v="11"/>
    <n v="32250"/>
  </r>
  <r>
    <s v="2000100800139"/>
    <s v="KILO LINO CAHUITA NEGRO C#23"/>
    <n v="0"/>
    <x v="11"/>
    <n v="32250"/>
  </r>
  <r>
    <s v="2000100800140"/>
    <s v="KILO LINO CAHUITA TAUPE DUST C#69"/>
    <n v="31.3"/>
    <x v="11"/>
    <n v="32250"/>
  </r>
  <r>
    <s v="2000100800141"/>
    <s v="KILO LINO POLIESTER ROJO BRILLANTE C#72"/>
    <n v="24.5"/>
    <x v="12"/>
    <n v="36750"/>
  </r>
  <r>
    <s v="2000100800142"/>
    <s v="KILO LINO POLIESTER AZUL REY C#19"/>
    <n v="24.5"/>
    <x v="12"/>
    <n v="36750"/>
  </r>
  <r>
    <s v="2000100800143"/>
    <s v="KILO LINO POLIESTER VERDE MILITAR C#15"/>
    <n v="24.2"/>
    <x v="12"/>
    <n v="36750"/>
  </r>
  <r>
    <s v="2000100800144"/>
    <s v="KILO LINO POLIESTER NEGRO C#23"/>
    <n v="24.5"/>
    <x v="12"/>
    <n v="36750"/>
  </r>
  <r>
    <s v="2000100800145"/>
    <s v="KILO LINO POLIESTER PALO ROSA C#6"/>
    <n v="24.2"/>
    <x v="12"/>
    <n v="36750"/>
  </r>
  <r>
    <s v="2000100800146"/>
    <s v="KILO LINO POLIESTER BLANCO C#24"/>
    <n v="24.5"/>
    <x v="12"/>
    <n v="36750"/>
  </r>
  <r>
    <s v="2000100800147"/>
    <s v="KILO LINO POLIESTER TERRACOTA C#52"/>
    <n v="24.8"/>
    <x v="12"/>
    <n v="36750"/>
  </r>
  <r>
    <s v="2000100800148"/>
    <s v="KILO LINO POLIESTER MENTA OSCURO C#63"/>
    <n v="24.1"/>
    <x v="12"/>
    <n v="36750"/>
  </r>
  <r>
    <s v="2000100800149"/>
    <s v="KILO LINO POLIESTER KHAKI C#70"/>
    <n v="25.3"/>
    <x v="12"/>
    <n v="36750"/>
  </r>
  <r>
    <s v="2000100800150"/>
    <s v="KILO POLY LICRA FUCSIA C#9"/>
    <n v="83.1"/>
    <x v="13"/>
    <n v="42000"/>
  </r>
  <r>
    <s v="2000100800151"/>
    <s v="KILO POLY LICRA AMARILLO NEON CN#5"/>
    <n v="27.5"/>
    <x v="13"/>
    <n v="42000"/>
  </r>
  <r>
    <s v="2000100800152"/>
    <s v="KILO POLY LICRA VERDE MENTA OSCURO C#63"/>
    <n v="0"/>
    <x v="13"/>
    <n v="42000"/>
  </r>
  <r>
    <s v="2000100800153"/>
    <s v="KILO POLY LICRA NARANJA C#67"/>
    <n v="53.1"/>
    <x v="13"/>
    <n v="42000"/>
  </r>
  <r>
    <s v="2000100800154"/>
    <s v="KILO POLY LICRA FUCSIA NEON CN#1"/>
    <n v="51.9"/>
    <x v="13"/>
    <n v="42000"/>
  </r>
  <r>
    <s v="2000100800155"/>
    <s v="KILO POLY LICRA TURQUESA C#33"/>
    <n v="56.7"/>
    <x v="13"/>
    <n v="42000"/>
  </r>
  <r>
    <s v="2000100800156"/>
    <s v="KILO POLY LICRA VERDE AGUA C#32"/>
    <n v="51.146999999999998"/>
    <x v="13"/>
    <n v="42000"/>
  </r>
  <r>
    <s v="2000100800157"/>
    <s v="KILO POLY LICRA VERDE CALI C#2"/>
    <n v="53.743000000000002"/>
    <x v="13"/>
    <n v="42000"/>
  </r>
  <r>
    <s v="2000100800158"/>
    <s v="KILO POLY LICRA AMARILLO COLOMBIA C#36"/>
    <n v="54.6"/>
    <x v="13"/>
    <n v="42000"/>
  </r>
  <r>
    <s v="2000100800159"/>
    <s v="KILO POLY LICRA LIMA C#64"/>
    <n v="28.2"/>
    <x v="13"/>
    <n v="42000"/>
  </r>
  <r>
    <s v="2000100800160"/>
    <s v="KILO POLY LICRA ORQUIDEA C#61"/>
    <n v="0"/>
    <x v="13"/>
    <n v="42000"/>
  </r>
  <r>
    <s v="2000100800161"/>
    <s v="KILO RIB ROJO BRILLANTE C#72"/>
    <n v="779.43299999999999"/>
    <x v="14"/>
    <n v="36800"/>
  </r>
  <r>
    <s v="2000100800162"/>
    <s v="KILO RIB NEGRO C#23"/>
    <n v="811.60299999999995"/>
    <x v="14"/>
    <n v="36800"/>
  </r>
  <r>
    <s v="2000100800163"/>
    <s v="KILO RIB BLANCO C#24"/>
    <n v="925.89599999999996"/>
    <x v="14"/>
    <n v="36800"/>
  </r>
  <r>
    <s v="2000100800164"/>
    <s v="KILO RIB TERRACOTA C#52"/>
    <n v="49.9"/>
    <x v="14"/>
    <n v="36800"/>
  </r>
  <r>
    <s v="2000100800165"/>
    <s v="KILO RIB MENTA OSCURO C#63"/>
    <n v="49.42"/>
    <x v="14"/>
    <n v="36800"/>
  </r>
  <r>
    <s v="2000100800166"/>
    <s v="KILO RIB MOCHA C#71"/>
    <n v="48.4"/>
    <x v="14"/>
    <n v="36800"/>
  </r>
  <r>
    <s v="2000100800167"/>
    <s v="KILO RIB VERDE C#12"/>
    <n v="49.5"/>
    <x v="14"/>
    <n v="24000"/>
  </r>
  <r>
    <s v="2000100800168"/>
    <s v="KILO RIB AZUL CIELO C#45"/>
    <n v="48.9"/>
    <x v="14"/>
    <n v="36800"/>
  </r>
  <r>
    <s v="2000100800169"/>
    <s v="KILO RIB LILA C#42"/>
    <n v="244.55500000000001"/>
    <x v="14"/>
    <n v="36800"/>
  </r>
  <r>
    <s v="2000100800170"/>
    <s v="KILO RIB PALO ROSA C#6"/>
    <n v="289.24599999999998"/>
    <x v="14"/>
    <n v="36800"/>
  </r>
  <r>
    <s v="2000100800171"/>
    <s v="KILO RIB GRIS CLARO C#54"/>
    <n v="49.1"/>
    <x v="14"/>
    <n v="36800"/>
  </r>
  <r>
    <s v="2000100800172"/>
    <s v="KILO RIB ROJO C#18"/>
    <n v="199.59100000000001"/>
    <x v="14"/>
    <n v="36800"/>
  </r>
  <r>
    <s v="2000100800173"/>
    <s v="KILO RIB MOSTAZA C#11"/>
    <n v="24.8"/>
    <x v="14"/>
    <n v="24000"/>
  </r>
  <r>
    <s v="2000100800174"/>
    <s v="KILO RIB VERDE MILITAR C#15"/>
    <n v="24.14"/>
    <x v="14"/>
    <n v="36800"/>
  </r>
  <r>
    <s v="2000100800175"/>
    <s v="KILO RIB ROSADO C#1"/>
    <n v="168.94300000000001"/>
    <x v="14"/>
    <n v="36800"/>
  </r>
  <r>
    <s v="2000100800176"/>
    <s v="KILO RIB AZUL OSCURO C#21"/>
    <n v="24.097000000000001"/>
    <x v="14"/>
    <n v="24000"/>
  </r>
  <r>
    <s v="2000100800177"/>
    <s v="KILO RIB PALO ROSA CLARO C#3"/>
    <n v="0"/>
    <x v="14"/>
    <n v="36800"/>
  </r>
  <r>
    <s v="2000100800178"/>
    <s v="KILO RIB AMARILLO COLOMBIA C#36"/>
    <n v="23.9"/>
    <x v="14"/>
    <n v="24000"/>
  </r>
  <r>
    <s v="2000100800179"/>
    <s v="KILO RIB GRIS OSCURO C#46"/>
    <n v="48.1"/>
    <x v="14"/>
    <n v="36800"/>
  </r>
  <r>
    <s v="2000100800180"/>
    <s v="KILO RIB AZUL PETROLEO C#22"/>
    <n v="24.8"/>
    <x v="14"/>
    <n v="36800"/>
  </r>
  <r>
    <s v="2000100800181"/>
    <s v="KILO RIB KHAKI C#70"/>
    <n v="0"/>
    <x v="14"/>
    <n v="36800"/>
  </r>
  <r>
    <s v="2000100800182"/>
    <s v="KILO RIB CORAL C#8"/>
    <n v="24.2"/>
    <x v="14"/>
    <n v="24000"/>
  </r>
  <r>
    <s v="2000100800183"/>
    <s v="KILO RIB FUCSIA C#9"/>
    <n v="0"/>
    <x v="14"/>
    <n v="24000"/>
  </r>
  <r>
    <s v="2000100800184"/>
    <s v="KILO RIB VINO TINTO C#30"/>
    <n v="0"/>
    <x v="14"/>
    <n v="36800"/>
  </r>
  <r>
    <s v="2000100800185"/>
    <s v="KILO SATIN AMARILLO BEBE C#55"/>
    <n v="51.9"/>
    <x v="15"/>
    <n v="52800"/>
  </r>
  <r>
    <s v="2000100800186"/>
    <s v="KILO SATIN FUCSIA C#9"/>
    <n v="19.600000000000001"/>
    <x v="15"/>
    <n v="52800"/>
  </r>
  <r>
    <s v="2000100800187"/>
    <s v="KILO SATIN KHAKI C#70"/>
    <n v="3"/>
    <x v="15"/>
    <n v="52800"/>
  </r>
  <r>
    <s v="2000100800188"/>
    <s v="KILO SATIN CORAL C#8"/>
    <n v="0"/>
    <x v="15"/>
    <n v="52800"/>
  </r>
  <r>
    <s v="2000100800189"/>
    <s v="KILO SATIN TERRACOTA C#52"/>
    <n v="16.7"/>
    <x v="15"/>
    <n v="52800"/>
  </r>
  <r>
    <s v="2000100800190"/>
    <s v="KILO SATIN MORADO C#43"/>
    <n v="3.9239999999999999"/>
    <x v="15"/>
    <n v="52800"/>
  </r>
  <r>
    <s v="2000100800191"/>
    <s v="KILO SATIN ROJO BRILLANTE C#72"/>
    <n v="0"/>
    <x v="15"/>
    <n v="52800"/>
  </r>
  <r>
    <s v="2000100800192"/>
    <s v="KILO SATIN PALO ROSA C#6"/>
    <n v="28.506"/>
    <x v="15"/>
    <n v="52800"/>
  </r>
  <r>
    <s v="2000100800193"/>
    <s v="KILO SATIN VERDE C#12"/>
    <n v="8.7149999999999999"/>
    <x v="15"/>
    <n v="52800"/>
  </r>
  <r>
    <s v="2000100800194"/>
    <s v="KILO SATIN AZUL REY C#19"/>
    <n v="42.680999999999997"/>
    <x v="15"/>
    <n v="52800"/>
  </r>
  <r>
    <s v="2000100800195"/>
    <s v="KILO SATIN LILA C#42"/>
    <n v="43.357999999999997"/>
    <x v="15"/>
    <n v="52800"/>
  </r>
  <r>
    <s v="2000100800196"/>
    <s v="KILO SATIN AZUL CIELO C#45"/>
    <n v="40.1"/>
    <x v="15"/>
    <n v="52800"/>
  </r>
  <r>
    <s v="2000100800197"/>
    <s v="KILO SATIN ROSADO C#2"/>
    <n v="17.5"/>
    <x v="15"/>
    <n v="52800"/>
  </r>
  <r>
    <s v="2000100800198"/>
    <s v="KILO SATIN LAVANDA C#41"/>
    <n v="50.86"/>
    <x v="15"/>
    <n v="52800"/>
  </r>
  <r>
    <s v="2000100800199"/>
    <s v="KILO SATIN VERDE OLIVO C#44"/>
    <n v="0"/>
    <x v="15"/>
    <n v="52800"/>
  </r>
  <r>
    <s v="2000100800200"/>
    <s v="KILO SATIN VERDE OSCURO C#14"/>
    <n v="34.4"/>
    <x v="15"/>
    <n v="52800"/>
  </r>
  <r>
    <s v="2000100800201"/>
    <s v="KILO SATIN ROSADO CLARO C#1"/>
    <n v="0"/>
    <x v="15"/>
    <n v="52800"/>
  </r>
  <r>
    <s v="2000100800202"/>
    <s v="KILO SATIN TAUPE C#49"/>
    <n v="50.2"/>
    <x v="15"/>
    <n v="52800"/>
  </r>
  <r>
    <s v="2000100800203"/>
    <s v="KILO SATIN MOCHA C#71"/>
    <n v="8.4819999999999993"/>
    <x v="15"/>
    <n v="52800"/>
  </r>
  <r>
    <s v="2000100800204"/>
    <s v="KILO SATIN TAUPE DUST C#69"/>
    <n v="71.400000000000006"/>
    <x v="15"/>
    <n v="52800"/>
  </r>
  <r>
    <s v="2000100800205"/>
    <s v="KILO SATIN NEGRO C#23"/>
    <n v="7.1"/>
    <x v="15"/>
    <n v="52800"/>
  </r>
  <r>
    <s v="2000100800206"/>
    <s v="KILO SEDA DE MANGO TAUPE C#49"/>
    <n v="26.6"/>
    <x v="16"/>
    <n v="36700"/>
  </r>
  <r>
    <s v="2000100800207"/>
    <s v="KILO SEDA DE MANGO ROSADO C#1"/>
    <n v="52.591000000000001"/>
    <x v="16"/>
    <n v="36700"/>
  </r>
  <r>
    <s v="2000100800208"/>
    <s v="KILO SEDA DE MANGO MOSTAZA C#11"/>
    <n v="47.3"/>
    <x v="16"/>
    <n v="36700"/>
  </r>
  <r>
    <s v="2000100800209"/>
    <s v="KILO SEDA DE MANGO TERRACOTA C#52"/>
    <n v="0"/>
    <x v="16"/>
    <n v="36700"/>
  </r>
  <r>
    <s v="2000100800210"/>
    <s v="KILO SEDA DE MANGO ROJO BRILLANTE C#72"/>
    <n v="74.900000000000006"/>
    <x v="16"/>
    <n v="36700"/>
  </r>
  <r>
    <s v="2000100800211"/>
    <s v="KILO SEDA DE MANGO TURQUESA C#33"/>
    <n v="61.7"/>
    <x v="16"/>
    <n v="36700"/>
  </r>
  <r>
    <s v="2000100800212"/>
    <s v="KILO SEDA DE MANGO KHAKI C#70"/>
    <n v="24.5"/>
    <x v="16"/>
    <n v="36700"/>
  </r>
  <r>
    <s v="2000100800213"/>
    <s v="KILO SEDA DE MANGO AZUL REY C#19"/>
    <n v="1.8"/>
    <x v="16"/>
    <n v="36700"/>
  </r>
  <r>
    <s v="2000100800214"/>
    <s v="KILO SEDA DE MANGO NEGRO C#23"/>
    <n v="51.1"/>
    <x v="16"/>
    <n v="44100"/>
  </r>
  <r>
    <s v="2000100800215"/>
    <s v="KILO SEDA DE MANGO VINO TINTO C#30"/>
    <n v="34.200000000000003"/>
    <x v="16"/>
    <n v="36700"/>
  </r>
  <r>
    <s v="2000100800216"/>
    <s v="KILO SEDA DE MANGO LILA C#42"/>
    <n v="1.6"/>
    <x v="16"/>
    <n v="36700"/>
  </r>
  <r>
    <s v="2000100800217"/>
    <s v="KILO SEDA DE MANGO PALO ROSA C#6"/>
    <n v="0"/>
    <x v="16"/>
    <n v="36700"/>
  </r>
  <r>
    <s v="2000100800218"/>
    <s v="KILO SEDA DE MANGO MENTA OSCURO C#63"/>
    <n v="19.2"/>
    <x v="16"/>
    <n v="36700"/>
  </r>
  <r>
    <s v="2000100800219"/>
    <s v="KILO UVITA CRUDO PFD"/>
    <n v="0"/>
    <x v="17"/>
    <n v="26325"/>
  </r>
  <r>
    <s v="2000100800220"/>
    <s v="KILO UVITA BLANCO C#24"/>
    <n v="62.4"/>
    <x v="17"/>
    <n v="26325"/>
  </r>
  <r>
    <s v="2000100800221"/>
    <s v="KILO UVITA GRIS CLARO C#54"/>
    <n v="47.139000000000003"/>
    <x v="17"/>
    <n v="26325"/>
  </r>
  <r>
    <s v="2000100800222"/>
    <s v="KILO UVITA KHAKI C#70"/>
    <n v="44.789000000000001"/>
    <x v="17"/>
    <n v="26325"/>
  </r>
  <r>
    <s v="2000100800223"/>
    <s v="KILO UVITA NEW C#6"/>
    <n v="51.3"/>
    <x v="17"/>
    <n v="26325"/>
  </r>
  <r>
    <s v="2000100800224"/>
    <s v="KILO UVITA AZUL OSCURO C#21"/>
    <n v="52.2"/>
    <x v="17"/>
    <n v="26325"/>
  </r>
  <r>
    <s v="2000100800225"/>
    <s v="KILO UVITA NEGRO C#23"/>
    <n v="45.521000000000001"/>
    <x v="17"/>
    <n v="26325"/>
  </r>
  <r>
    <s v="2000100800226"/>
    <s v="KILO UVITA VERDE OSCURO C#14"/>
    <n v="50.314999999999998"/>
    <x v="17"/>
    <n v="26325"/>
  </r>
  <r>
    <s v="2000100800227"/>
    <s v="KILO WAFER NEGRO C#23"/>
    <n v="104.76600000000001"/>
    <x v="18"/>
    <n v="32400"/>
  </r>
  <r>
    <s v="2000100800228"/>
    <s v="KILO WAFER BLANCO C#24"/>
    <n v="76.16"/>
    <x v="18"/>
    <n v="32400"/>
  </r>
  <r>
    <s v="2000100800229"/>
    <s v="KILO SATIN GRIS CLARO C#54"/>
    <n v="42.475000000000001"/>
    <x v="15"/>
    <n v="52800"/>
  </r>
  <r>
    <s v="2000100800230"/>
    <s v="KILO SATIN CRUDO PFD"/>
    <n v="15.664"/>
    <x v="15"/>
    <n v="52800"/>
  </r>
  <r>
    <s v="2000100800231"/>
    <s v="BRUSH X KILO ROSA SUAVE C#75"/>
    <n v="67.179000000000002"/>
    <x v="2"/>
    <n v="35700"/>
  </r>
  <r>
    <s v="2000100800232"/>
    <s v="KILO SEDA DE MANGO CRUDO PFD"/>
    <n v="81.58"/>
    <x v="16"/>
    <n v="44100"/>
  </r>
  <r>
    <s v="2000100800233"/>
    <s v="KILO GRANITO DE ARROZ CRUDO PFD"/>
    <n v="0"/>
    <x v="8"/>
    <n v="35100"/>
  </r>
  <r>
    <s v="2000100800234"/>
    <s v="KILO GRANITO DE ARROZ BLANCO C#24"/>
    <n v="0"/>
    <x v="8"/>
    <n v="35100"/>
  </r>
  <r>
    <s v="2000100800235"/>
    <s v="KILO GRANITO DE ARROZ NEGRO C#23"/>
    <n v="0"/>
    <x v="8"/>
    <n v="35100"/>
  </r>
  <r>
    <s v="2000100800236"/>
    <s v="KILO GRANITO DE ARROZ VERDE MILITAR C#15"/>
    <n v="0"/>
    <x v="8"/>
    <n v="35100"/>
  </r>
  <r>
    <s v="2000100800237"/>
    <s v="KILO GRANITO DE ARROZ KHAKI C#70"/>
    <n v="0"/>
    <x v="8"/>
    <n v="35100"/>
  </r>
  <r>
    <s v="2000100800238"/>
    <s v="KILO GRANITO DE ARROZ GRIS CLARO C#54"/>
    <n v="0"/>
    <x v="8"/>
    <n v="35100"/>
  </r>
  <r>
    <s v="2000100800239"/>
    <s v="KILO GRANITO DE ARROZ MOSTAZA C#11"/>
    <n v="0"/>
    <x v="8"/>
    <n v="35100"/>
  </r>
  <r>
    <s v="2000100800240"/>
    <s v="KILO GRANITO DE ARROZ ROJO C#18"/>
    <n v="0"/>
    <x v="8"/>
    <n v="35100"/>
  </r>
  <r>
    <s v="2000100800241"/>
    <s v="KILO GRANITO DE ARROZ AZUL OSCURO C#21"/>
    <n v="0"/>
    <x v="8"/>
    <n v="35100"/>
  </r>
  <r>
    <s v="2000100800242"/>
    <s v="KILO GRANITO DE ARROZ PALO ROSA C#6"/>
    <n v="0"/>
    <x v="8"/>
    <n v="35100"/>
  </r>
  <r>
    <s v="2000100800243"/>
    <s v="KILO TERCIOPELO LICRADO BLANCO C#24"/>
    <n v="0"/>
    <x v="19"/>
    <n v="28800"/>
  </r>
  <r>
    <s v="2000100800244"/>
    <s v="KILO TERCIOPELO LICRADO NEGRO C#23"/>
    <n v="0"/>
    <x v="19"/>
    <n v="28800"/>
  </r>
  <r>
    <s v="2000100800245"/>
    <s v="KILO WAFER NEW C#6"/>
    <n v="41.075000000000003"/>
    <x v="18"/>
    <n v="32400"/>
  </r>
  <r>
    <s v="2000100800246"/>
    <s v="BRUSH X KILO ROSADO NEON CN#6 BRUSH"/>
    <n v="43.631999999999998"/>
    <x v="2"/>
    <n v="35700"/>
  </r>
  <r>
    <s v="2000100800247"/>
    <s v="KILO PITHAYA C#1"/>
    <n v="45.024000000000001"/>
    <x v="20"/>
    <n v="18750"/>
  </r>
  <r>
    <s v="2000100800248"/>
    <s v="KILO PITHAYA C#2"/>
    <n v="47.085000000000001"/>
    <x v="20"/>
    <n v="18750"/>
  </r>
  <r>
    <s v="2000100800249"/>
    <s v="KILO PITHAYA C#3"/>
    <n v="49.2"/>
    <x v="20"/>
    <n v="18750"/>
  </r>
  <r>
    <s v="2000100800250"/>
    <s v="KILO PITHAYA C#4"/>
    <n v="45.478000000000002"/>
    <x v="20"/>
    <n v="18750"/>
  </r>
  <r>
    <s v="2000100800251"/>
    <s v="KILO PITHAYA C#5"/>
    <n v="48"/>
    <x v="20"/>
    <n v="18750"/>
  </r>
  <r>
    <s v="2000100800252"/>
    <s v="BRUSH X KILO SUBLIMADO"/>
    <n v="8406.5540000000001"/>
    <x v="21"/>
    <n v="44500"/>
  </r>
  <r>
    <s v="2000100800253"/>
    <s v="KILO ANTIFLUIDO SUBLIMADO"/>
    <n v="228.49199999999999"/>
    <x v="22"/>
    <n v="50400"/>
  </r>
  <r>
    <s v="2000100800254"/>
    <s v="KILO ANTIFLUIDO LICRADO SUBLIMADO"/>
    <n v="166.143"/>
    <x v="23"/>
    <n v="56250"/>
  </r>
  <r>
    <s v="2000100800255"/>
    <s v="KILO SATIN SUBLIMADO"/>
    <n v="742.89800000000002"/>
    <x v="24"/>
    <n v="87500"/>
  </r>
  <r>
    <s v="2000100800256"/>
    <s v="KILO SEDA DE MANGO SUBLIMADO"/>
    <n v="546.34100000000001"/>
    <x v="25"/>
    <n v="61200"/>
  </r>
  <r>
    <s v="2000100800257"/>
    <s v="KILO SATIN BLANCO C#24"/>
    <n v="0"/>
    <x v="15"/>
    <n v="52800"/>
  </r>
  <r>
    <s v="2000100800258"/>
    <s v="BRUSH SB PROMOCION KILO"/>
    <n v="0"/>
    <x v="2"/>
    <n v="29700"/>
  </r>
  <r>
    <s v="2000100800259"/>
    <s v="KILO SATIN PERLA ROJO BRILLANTE C#72"/>
    <n v="22.3"/>
    <x v="26"/>
    <n v="42240"/>
  </r>
  <r>
    <s v="2000100800260"/>
    <s v="KILO SATIN PERLA VERDE OLIVO C#44"/>
    <n v="27.994"/>
    <x v="26"/>
    <n v="42240"/>
  </r>
  <r>
    <s v="2000100800261"/>
    <s v="KILO SATIN PERLA MOCHA MOUSSE C#79"/>
    <n v="8.85"/>
    <x v="26"/>
    <n v="42240"/>
  </r>
  <r>
    <s v="2000100800262"/>
    <s v="KILO JAQUARD FLORES AZUL OSCURO C#21"/>
    <n v="0"/>
    <x v="27"/>
    <n v="29070"/>
  </r>
  <r>
    <s v="2000100800263"/>
    <s v="KILO JAQUARD FLORES VERDE CALI C#12"/>
    <n v="23.556000000000001"/>
    <x v="27"/>
    <n v="29070"/>
  </r>
  <r>
    <s v="2000100800264"/>
    <s v="KILO JAQUARD FLORES NEGRO C#23"/>
    <n v="0"/>
    <x v="27"/>
    <n v="29070"/>
  </r>
  <r>
    <s v="2000100800265"/>
    <s v="KILO JAQUARD FLORES BLANCO C#24"/>
    <n v="0"/>
    <x v="27"/>
    <n v="29070"/>
  </r>
  <r>
    <s v="2000100800266"/>
    <s v="KILO SATIN CRISPO NEGRO C#23"/>
    <n v="28.6"/>
    <x v="28"/>
    <n v="42240"/>
  </r>
  <r>
    <s v="2000100800267"/>
    <s v="KILO SATIN CRISPO FUCSIA C#9"/>
    <n v="62.9"/>
    <x v="28"/>
    <n v="42240"/>
  </r>
  <r>
    <s v="2000100800268"/>
    <s v="KILO SATIN CRISPO TAUPE C#49"/>
    <n v="53.47"/>
    <x v="28"/>
    <n v="42240"/>
  </r>
  <r>
    <s v="2000100800269"/>
    <s v="KILO JAQUARD CRUCES NEGRO C#23"/>
    <n v="33.1"/>
    <x v="29"/>
    <n v="29050"/>
  </r>
  <r>
    <s v="2000100800270"/>
    <s v="KILO JAQUARD CRUCES ROJO BRILLANTE C#72"/>
    <n v="11.6"/>
    <x v="29"/>
    <n v="29050"/>
  </r>
  <r>
    <s v="2000100800271"/>
    <s v="KILO JAQUARD CRUCES KHAKI C#70"/>
    <n v="12.8"/>
    <x v="29"/>
    <n v="29050"/>
  </r>
  <r>
    <s v="2000100800272"/>
    <s v="KILO JAQUARD CRUCES VERDE OLIVO C#44"/>
    <n v="0"/>
    <x v="29"/>
    <n v="29050"/>
  </r>
  <r>
    <s v="2000100800273"/>
    <s v="KILO JAQUARD CRUCES BLANCO C#24"/>
    <n v="6"/>
    <x v="29"/>
    <n v="29050"/>
  </r>
  <r>
    <s v="2000100800274"/>
    <s v="KILO JAQUARD GAIA NEGRO C#23"/>
    <n v="39.799999999999997"/>
    <x v="30"/>
    <n v="28775"/>
  </r>
  <r>
    <s v="2000100800275"/>
    <s v="KILO JAQUARD GAIA BLANCO C#24"/>
    <n v="0"/>
    <x v="30"/>
    <n v="28775"/>
  </r>
  <r>
    <s v="2000100800276"/>
    <s v="KILO JAQUARD GAIA KHAKI C#70"/>
    <n v="0"/>
    <x v="30"/>
    <n v="28775"/>
  </r>
  <r>
    <s v="2000100800277"/>
    <s v="KILO JAQUARD GAIA LIMA C#64"/>
    <n v="0"/>
    <x v="30"/>
    <n v="28775"/>
  </r>
  <r>
    <s v="2000100800278"/>
    <s v="KILO JAQUARD GAIA FUCSIA C#9"/>
    <n v="22.74"/>
    <x v="30"/>
    <n v="28775"/>
  </r>
  <r>
    <s v="2000100800279"/>
    <s v="KILO POLY LICRA CORAL C#8"/>
    <n v="0"/>
    <x v="13"/>
    <n v="42000"/>
  </r>
  <r>
    <s v="2000100800280"/>
    <s v="BRUSH X KILO AZUL PETROLEO C#22"/>
    <n v="0"/>
    <x v="2"/>
    <n v="35700"/>
  </r>
  <r>
    <s v="2000100800281"/>
    <s v="KILO POLY LICRA NEGRO C#23"/>
    <n v="50.188000000000002"/>
    <x v="13"/>
    <n v="42000"/>
  </r>
  <r>
    <s v="2000100800282"/>
    <s v="KILO POLY LICRA ROSADO NEON CN#6"/>
    <n v="0"/>
    <x v="13"/>
    <n v="42000"/>
  </r>
  <r>
    <s v="2000100800283"/>
    <s v="KILO POLY LICRA TAUPE DUST C#69"/>
    <n v="0"/>
    <x v="13"/>
    <n v="42000"/>
  </r>
  <r>
    <s v="2000100800284"/>
    <s v="KILO POLY LICRA VERDE MENTA  C#34"/>
    <n v="0"/>
    <x v="13"/>
    <n v="42000"/>
  </r>
  <r>
    <s v="2000100800285"/>
    <s v="KILO SEDA DE MANGO TAUPE DUST C#69"/>
    <n v="47.7"/>
    <x v="16"/>
    <n v="36700"/>
  </r>
  <r>
    <s v="2000100800286"/>
    <s v="KILO SEDA DE MANGO VERDE MILITAR C#15"/>
    <n v="0.3"/>
    <x v="16"/>
    <n v="36700"/>
  </r>
  <r>
    <s v="2000100800287"/>
    <s v="KILO SATIN MENTA OSCURO C#63"/>
    <n v="73.7"/>
    <x v="15"/>
    <n v="42240"/>
  </r>
  <r>
    <s v="2000100800288"/>
    <s v="KILO LINO POLIESTER  LILA C#42"/>
    <n v="0"/>
    <x v="12"/>
    <n v="36750"/>
  </r>
  <r>
    <s v="2000100800289"/>
    <s v="KILO LINO POLIESTER TAUPE DUST C#69"/>
    <n v="0"/>
    <x v="12"/>
    <n v="36750"/>
  </r>
  <r>
    <s v="2000100800290"/>
    <s v="KILO SEDA DE MANGO BLANCO C#24"/>
    <n v="3.0000000000000001E-3"/>
    <x v="16"/>
    <n v="44100"/>
  </r>
  <r>
    <s v="2000100800291"/>
    <s v="KILO POLY LICRA ROJO BRILLANTE C#72"/>
    <n v="48.566000000000003"/>
    <x v="13"/>
    <n v="42000"/>
  </r>
  <r>
    <s v="2000100800292"/>
    <s v="KILO POLY LICRA AZUL REY C#19"/>
    <n v="55.8"/>
    <x v="13"/>
    <n v="42000"/>
  </r>
  <r>
    <s v="2000100800293"/>
    <s v="KILO SEDA MANGO NUEVA BLANCO C#24"/>
    <n v="75"/>
    <x v="16"/>
    <n v="44100"/>
  </r>
  <r>
    <s v="2000100800294"/>
    <s v="BRUSH X KILO CORAL C#8"/>
    <n v="44.4"/>
    <x v="2"/>
    <n v="35700"/>
  </r>
  <r>
    <s v="2000100800295"/>
    <s v="KILO RIB PITILLO BLANCO C#24"/>
    <n v="52.408999999999999"/>
    <x v="31"/>
    <n v="29750"/>
  </r>
  <r>
    <s v="2000100800296"/>
    <s v="BRUSH X KILO AMARILLO NEON CN#5"/>
    <n v="44.9"/>
    <x v="2"/>
    <n v="35700"/>
  </r>
  <r>
    <s v="2000100800297"/>
    <s v="KILO CAMISETA PRO BLANCO C#24"/>
    <n v="44.09"/>
    <x v="32"/>
    <n v="28350"/>
  </r>
  <r>
    <s v="2000100800298"/>
    <s v="KILO CAMISETA PRO NEGRO C#23"/>
    <n v="47.5"/>
    <x v="32"/>
    <n v="28350"/>
  </r>
  <r>
    <s v="2000100800299"/>
    <s v="KILO CAMISETA PRO ROJO BRILLANTE C#72"/>
    <n v="45.86"/>
    <x v="32"/>
    <n v="28350"/>
  </r>
  <r>
    <s v="2000100800300"/>
    <s v="KILO CAMISETA TERRY NEGRO C#23"/>
    <n v="48.061999999999998"/>
    <x v="33"/>
    <n v="27900"/>
  </r>
  <r>
    <s v="2000100800301"/>
    <s v="KILO CAMISETA TERRY BLANCO C#24"/>
    <n v="49.2"/>
    <x v="33"/>
    <n v="27900"/>
  </r>
  <r>
    <s v="2000100800302"/>
    <s v="KILO CAMISETA TERRY AZUL PETROLEO C#22"/>
    <n v="59.9"/>
    <x v="33"/>
    <n v="27900"/>
  </r>
  <r>
    <s v="2000100800303"/>
    <s v="KILO CAMISETA TERRY ROJO BRILLANTE C#72"/>
    <n v="52.2"/>
    <x v="33"/>
    <n v="27900"/>
  </r>
  <r>
    <s v="2000100800304"/>
    <s v="KILO CAMISETA TERRY UVA C#111"/>
    <n v="48.402000000000001"/>
    <x v="33"/>
    <n v="27900"/>
  </r>
  <r>
    <s v="2000100800305"/>
    <s v="KILO CAMISETA TERRY VERDE OLIVO C# 44"/>
    <n v="49"/>
    <x v="33"/>
    <n v="27900"/>
  </r>
  <r>
    <s v="2000100800306"/>
    <s v="KILO CAMISETA TERRY CAFÉ C#20"/>
    <n v="50.4"/>
    <x v="33"/>
    <n v="27900"/>
  </r>
  <r>
    <s v="2000100800307"/>
    <s v="KILO CHIRRIPO NEGRO C#23"/>
    <n v="49.9"/>
    <x v="34"/>
    <n v="37000"/>
  </r>
  <r>
    <s v="2000100800308"/>
    <s v="KILO CONCHAL NEGRO C#23"/>
    <n v="45.2"/>
    <x v="35"/>
    <n v="43700"/>
  </r>
  <r>
    <s v="2000100800309"/>
    <s v="KILO GRANITO DE ARROZ 190G CRUDO PFD"/>
    <n v="66.561000000000007"/>
    <x v="8"/>
    <n v="34800"/>
  </r>
  <r>
    <s v="2000100800310"/>
    <s v="KILO JAQUARD ZIG ZAG NEGRO C#23"/>
    <n v="0.85399999999999998"/>
    <x v="36"/>
    <n v="25050"/>
  </r>
  <r>
    <s v="2000100800311"/>
    <s v="KILO JAQUARD ZIG ZAG BLANCO C#24"/>
    <n v="48.8"/>
    <x v="36"/>
    <n v="25050"/>
  </r>
  <r>
    <s v="2000100800312"/>
    <s v="KILO JAQUARD ZIG ZAG GRIS CLARO C#54"/>
    <n v="24"/>
    <x v="36"/>
    <n v="25050"/>
  </r>
  <r>
    <s v="2000100800313"/>
    <s v="KILO JAQUARD ZIG ZAG VERDE OLIVO C#44"/>
    <n v="11.526999999999999"/>
    <x v="36"/>
    <n v="25050"/>
  </r>
  <r>
    <s v="2000100800314"/>
    <s v="KILO JAQUARD ZIG ZAG MOCHA CHOCOLATE C#77"/>
    <n v="-1E-3"/>
    <x v="36"/>
    <n v="25050"/>
  </r>
  <r>
    <s v="2000100800315"/>
    <s v="KILO JAQUARD B NEGRO C#23"/>
    <n v="2E-3"/>
    <x v="37"/>
    <n v="25050"/>
  </r>
  <r>
    <s v="2000100800316"/>
    <s v="KILO JAQUARD B AZUL REY C#19"/>
    <n v="46.953000000000003"/>
    <x v="37"/>
    <n v="25050"/>
  </r>
  <r>
    <s v="2000100800317"/>
    <s v="KILO JAQUARD B KHAKI C#70"/>
    <n v="-8.0879999999999992"/>
    <x v="37"/>
    <n v="25050"/>
  </r>
  <r>
    <s v="2000100800318"/>
    <s v="KILO JAQUARD B VERDE OSCURO C#14"/>
    <n v="45.57"/>
    <x v="37"/>
    <n v="25050"/>
  </r>
  <r>
    <s v="2000100800319"/>
    <s v="KILO JAQUARD LINEAS VERDE OSUCURO C#14"/>
    <n v="18.928000000000001"/>
    <x v="38"/>
    <n v="26100"/>
  </r>
  <r>
    <s v="2000100800320"/>
    <s v="KILO JAQUARD CONFORT ROJO BRILLANTE C#72"/>
    <n v="17.408000000000001"/>
    <x v="39"/>
    <n v="34000"/>
  </r>
  <r>
    <s v="2000100800321"/>
    <s v="KILO JAQUARD CONFORT NEGRO C#23"/>
    <n v="24.574999999999999"/>
    <x v="39"/>
    <n v="34000"/>
  </r>
  <r>
    <s v="2000100800322"/>
    <s v="KILO JAQUARD CONJUNTO GRIS CLARO C#54"/>
    <n v="49.2"/>
    <x v="40"/>
    <n v="33500"/>
  </r>
  <r>
    <s v="2000100800323"/>
    <s v="KILO JAQUARD CONJUNTO VERDE OSCURO C#14"/>
    <n v="66.025999999999996"/>
    <x v="40"/>
    <n v="33500"/>
  </r>
  <r>
    <s v="2000100800324"/>
    <s v="KILO JAQUARD CONJUNTO NEW C#6"/>
    <n v="61.4"/>
    <x v="40"/>
    <n v="33500"/>
  </r>
  <r>
    <s v="2000100800325"/>
    <s v="KILO JAQUARD CONJUNTO ROSADO C#1"/>
    <n v="68.400000000000006"/>
    <x v="40"/>
    <n v="33500"/>
  </r>
  <r>
    <s v="2000100800326"/>
    <s v="KILO JAQUARD CONJUNTO NEGRO C#23"/>
    <n v="50.1"/>
    <x v="40"/>
    <n v="33500"/>
  </r>
  <r>
    <s v="2000100800327"/>
    <s v="KILO JAQUARD CONJUNTO BLANCO C#24"/>
    <n v="53.3"/>
    <x v="40"/>
    <n v="33500"/>
  </r>
  <r>
    <s v="2000100800328"/>
    <s v="KILO LANILLA WAFFLE BLANCO C#24"/>
    <n v="96.1"/>
    <x v="41"/>
    <n v="29000"/>
  </r>
  <r>
    <s v="2000100800329"/>
    <s v="KILO LANILLA WAFFLE NEGRO C#23"/>
    <n v="96.3"/>
    <x v="41"/>
    <n v="29000"/>
  </r>
  <r>
    <s v="2000100800330"/>
    <s v="KILO LINO POLIESTER CRUDO PFD"/>
    <n v="22.7"/>
    <x v="12"/>
    <n v="36750"/>
  </r>
  <r>
    <s v="2000100800331"/>
    <s v="KILO MANZANILLO NEGRO C#23"/>
    <n v="77.2"/>
    <x v="42"/>
    <n v="33600"/>
  </r>
  <r>
    <s v="2000100800332"/>
    <s v="KILO MANZANILLO GRIS CLARO C#54"/>
    <n v="44.356000000000002"/>
    <x v="42"/>
    <n v="33600"/>
  </r>
  <r>
    <s v="2000100800333"/>
    <s v="KILO MANZANILLO AZUL OSCURO C#21"/>
    <n v="47.37"/>
    <x v="42"/>
    <n v="33600"/>
  </r>
  <r>
    <s v="2000100800334"/>
    <s v="KILO MANZANILLO GRIS OSCURO"/>
    <n v="48.44"/>
    <x v="42"/>
    <n v="33600"/>
  </r>
  <r>
    <s v="2000100800335"/>
    <s v="KILO MANZANILLO ROJO BRILLANTE C#72"/>
    <n v="48.235999999999997"/>
    <x v="42"/>
    <n v="33600"/>
  </r>
  <r>
    <s v="2000100800336"/>
    <s v="KILO PINILLA BLANCO C#24"/>
    <n v="36.200000000000003"/>
    <x v="43"/>
    <n v="39900"/>
  </r>
  <r>
    <s v="2000100800337"/>
    <s v="KILO PINILLA NEGRO C#23"/>
    <n v="45.363999999999997"/>
    <x v="43"/>
    <n v="39900"/>
  </r>
  <r>
    <s v="2000100800338"/>
    <s v="KILO PINILLA ROJO BRILLANTE C#72"/>
    <n v="39.491999999999997"/>
    <x v="43"/>
    <n v="39900"/>
  </r>
  <r>
    <s v="2000100800339"/>
    <s v="KILO PINILLA AZUL OSCURO C#21"/>
    <n v="47"/>
    <x v="43"/>
    <n v="39900"/>
  </r>
  <r>
    <s v="2000100800340"/>
    <s v="KILO PLUSH BLANCO C#24"/>
    <n v="-0.77300000000000002"/>
    <x v="44"/>
    <n v="28750"/>
  </r>
  <r>
    <s v="2000100800341"/>
    <s v="KILO PLUSH NEGRO C#23"/>
    <n v="57.95"/>
    <x v="44"/>
    <n v="28750"/>
  </r>
  <r>
    <s v="2000100800342"/>
    <s v="KILO PLUSH ROJO BRILLANTE C#72"/>
    <n v="59.5"/>
    <x v="44"/>
    <n v="28750"/>
  </r>
  <r>
    <s v="2000100800343"/>
    <s v="KILO PLUSH ROSADO C#1"/>
    <n v="57.136000000000003"/>
    <x v="44"/>
    <n v="28750"/>
  </r>
  <r>
    <s v="2000100800344"/>
    <s v="KILO PLUSH CELESTE BEBE C#89"/>
    <n v="51.286000000000001"/>
    <x v="44"/>
    <n v="28750"/>
  </r>
  <r>
    <s v="2000100800345"/>
    <s v="KILO POLY LICRA BLANCO C#24"/>
    <n v="51.801000000000002"/>
    <x v="13"/>
    <n v="42000"/>
  </r>
  <r>
    <s v="2000100800346"/>
    <s v="KILO RIB 2*2 KHAKI C#70"/>
    <n v="45"/>
    <x v="45"/>
    <n v="31800"/>
  </r>
  <r>
    <s v="2000100800347"/>
    <s v="KILO RIB 2*2 AZUL REY C#19"/>
    <n v="44.8"/>
    <x v="45"/>
    <n v="31800"/>
  </r>
  <r>
    <s v="2000100800348"/>
    <s v="KILO RIB 2*2 ROJO BRILLANTE C#72"/>
    <n v="21.8"/>
    <x v="45"/>
    <n v="31800"/>
  </r>
  <r>
    <s v="2000100800349"/>
    <s v="KILO RIB PITILLO NEGRO C#23"/>
    <n v="49.1"/>
    <x v="31"/>
    <n v="29750"/>
  </r>
  <r>
    <s v="2000100800350"/>
    <s v="KILO SATIN CRISPO BLANCO C#24"/>
    <n v="29.5"/>
    <x v="28"/>
    <n v="42240"/>
  </r>
  <r>
    <s v="2000100800351"/>
    <s v="KILO SAVEGRE BLANCO C#24"/>
    <n v="108.887"/>
    <x v="46"/>
    <n v="42050"/>
  </r>
  <r>
    <s v="2000100800352"/>
    <s v="KILO SAVEGRE NEGRO C#23"/>
    <n v="119.8"/>
    <x v="46"/>
    <n v="42050"/>
  </r>
  <r>
    <s v="2000100800353"/>
    <s v="KILO SCUBA CREPE NEGRO C#23"/>
    <n v="70.975999999999999"/>
    <x v="47"/>
    <n v="31200"/>
  </r>
  <r>
    <s v="2000100800354"/>
    <s v="KILO PIEL DE CONEJO SUBLIMADO"/>
    <n v="994.255"/>
    <x v="48"/>
    <n v="37500"/>
  </r>
  <r>
    <s v="2000100800355"/>
    <s v="KILO TWILL PIQUE NEGRO C#23"/>
    <n v="37.9"/>
    <x v="49"/>
    <n v="28150"/>
  </r>
  <r>
    <s v="2000100800356"/>
    <s v="KILO TWILL PIQUE BLANCO C#24"/>
    <n v="36.158000000000001"/>
    <x v="49"/>
    <n v="28150"/>
  </r>
  <r>
    <s v="2000100800357"/>
    <s v="KILO WAFER CREMA DE LIMA C#80"/>
    <n v="0"/>
    <x v="18"/>
    <n v="32400"/>
  </r>
  <r>
    <s v="2000100800358"/>
    <s v="KILO WAFER FLOR DE DESIERTO C#74"/>
    <n v="76.906999999999996"/>
    <x v="18"/>
    <n v="32400"/>
  </r>
  <r>
    <s v="2000100800359"/>
    <s v="KILO WAFER AZUL CIELO C#45"/>
    <n v="77.5"/>
    <x v="18"/>
    <n v="32400"/>
  </r>
  <r>
    <s v="2000100800360"/>
    <s v="KILO WAFER PFD CRUDO"/>
    <n v="70.8"/>
    <x v="18"/>
    <n v="32400"/>
  </r>
  <r>
    <s v="2000100800361"/>
    <s v="KILO WAFER BEIDGE C#1"/>
    <n v="74.58"/>
    <x v="18"/>
    <n v="32400"/>
  </r>
  <r>
    <s v="2000100800362"/>
    <s v="KILO WAFFLE NIDO DE ABEJA BLANCO C#24"/>
    <n v="52.4"/>
    <x v="50"/>
    <n v="35100"/>
  </r>
  <r>
    <s v="2000100800363"/>
    <s v="KILO WAFFLE NIDO DE ABEJA NEGRO C#23"/>
    <n v="50.375999999999998"/>
    <x v="50"/>
    <n v="35100"/>
  </r>
  <r>
    <s v="2000100800364"/>
    <s v="KILO WAFFLE NIDO DE ABEJA NEW C#6"/>
    <n v="49.49"/>
    <x v="50"/>
    <n v="35100"/>
  </r>
  <r>
    <s v="2000100800365"/>
    <s v="KILO WAFFLE NIDO DE ABEJA ROJO BRILLANTE C#24"/>
    <n v="51.161999999999999"/>
    <x v="50"/>
    <n v="35100"/>
  </r>
  <r>
    <s v="2000100800366"/>
    <s v="KILO WAFFLE NIDO DE ABEJA ROSADO C#1"/>
    <n v="51.1"/>
    <x v="50"/>
    <n v="35100"/>
  </r>
  <r>
    <s v="2000100800367"/>
    <s v="KILO JAQUARD B BLANCO C#24"/>
    <n v="-7.7210000000000001"/>
    <x v="37"/>
    <n v="25050"/>
  </r>
  <r>
    <s v="2000100800368"/>
    <s v="KILO JAQUARD TRIBAL BLANCO C#24"/>
    <n v="24.5"/>
    <x v="51"/>
    <n v="28600"/>
  </r>
  <r>
    <s v="2000100800369"/>
    <s v="KILO RIB 2*2 NEGRO C#23"/>
    <n v="22.667999999999999"/>
    <x v="45"/>
    <n v="31800"/>
  </r>
  <r>
    <s v="2000100800370"/>
    <s v="KILO RIB 2*2 VERDE OLIVO C#44"/>
    <n v="21.978000000000002"/>
    <x v="45"/>
    <n v="31800"/>
  </r>
  <r>
    <s v="2000100800371"/>
    <s v="KILO UVITA LILA C#42"/>
    <n v="50.548000000000002"/>
    <x v="17"/>
    <n v="26325"/>
  </r>
  <r>
    <s v="2000100800372"/>
    <s v="KILO UVITA AZUL CIELO C#45"/>
    <n v="50.759"/>
    <x v="17"/>
    <n v="26325"/>
  </r>
  <r>
    <s v="2000100800373"/>
    <s v="KILO UVITA ROSADO C#1"/>
    <n v="49.686"/>
    <x v="17"/>
    <n v="26325"/>
  </r>
  <r>
    <s v="2000100800374"/>
    <s v="KILO WAFER VERDE MILITAR C#15"/>
    <n v="77.828999999999994"/>
    <x v="18"/>
    <n v="32400"/>
  </r>
  <r>
    <s v="2000100800375"/>
    <s v="KILO TAMARINDO NEGRO C#23"/>
    <n v="18.263000000000002"/>
    <x v="52"/>
    <n v="40250"/>
  </r>
  <r>
    <s v="2000100800376"/>
    <s v="KILO JAQUARD CONFORT BLANCO C#24"/>
    <n v="24.2"/>
    <x v="39"/>
    <n v="34000"/>
  </r>
  <r>
    <s v="2000100800377"/>
    <s v="BRUSH X KILO MOCHA CHOCOLATE C#77"/>
    <n v="44.423000000000002"/>
    <x v="2"/>
    <n v="35700"/>
  </r>
  <r>
    <s v="2000100800378"/>
    <s v="KILO JAQUARD NUDO NEGRO C#23"/>
    <n v="108.715"/>
    <x v="53"/>
    <n v="24990"/>
  </r>
  <r>
    <s v="2000100800379"/>
    <s v="KILO JAQUARD NUDO BLANCO C#24"/>
    <n v="115.562"/>
    <x v="53"/>
    <n v="24990"/>
  </r>
  <r>
    <s v="2000100800380"/>
    <s v="KILO JAQUARD NUDO CAFE C#20"/>
    <n v="94.5"/>
    <x v="53"/>
    <n v="24990"/>
  </r>
  <r>
    <s v="2000100800381"/>
    <s v="KILO WAFER VINO TINTO C#30"/>
    <n v="51.475000000000001"/>
    <x v="18"/>
    <n v="32400"/>
  </r>
  <r>
    <s v="2000100800382"/>
    <s v="KILO WAFER KAKHI C#70"/>
    <n v="102.2"/>
    <x v="18"/>
    <n v="32400"/>
  </r>
  <r>
    <s v="2000100800383"/>
    <s v="KILO UVITA AZUL REY C#19"/>
    <n v="49.287999999999997"/>
    <x v="17"/>
    <n v="26325"/>
  </r>
  <r>
    <s v="2000100800384"/>
    <s v="KILO JAQUARD TRENZA NEGRO C#23"/>
    <n v="40.786999999999999"/>
    <x v="54"/>
    <n v="27720"/>
  </r>
  <r>
    <s v="2000100800385"/>
    <s v="KILO JAQUARD TRENZA BLANCO C#24"/>
    <n v="67"/>
    <x v="54"/>
    <n v="27720"/>
  </r>
  <r>
    <s v="2000100800386"/>
    <s v="BRUSH X KILO AZUL OSCURO C#21"/>
    <n v="22.126999999999999"/>
    <x v="2"/>
    <n v="35700"/>
  </r>
  <r>
    <s v="2000100800387"/>
    <s v="KILO SATIN PERLA NEGRO C#23"/>
    <n v="20.803000000000001"/>
    <x v="26"/>
    <n v="42240"/>
  </r>
  <r>
    <s v="2000100800388"/>
    <s v="KILO JAQUARD FIT NEGRO C#23"/>
    <n v="26"/>
    <x v="55"/>
    <n v="26880"/>
  </r>
  <r>
    <s v="2000100800389"/>
    <s v="KILO JAQUARD FIT BLANCO C#24"/>
    <n v="25.5"/>
    <x v="55"/>
    <n v="26880"/>
  </r>
  <r>
    <s v="2000100800390"/>
    <s v="KILO JAQUARD FIT CAFÉ C#20"/>
    <n v="0"/>
    <x v="55"/>
    <n v="26880"/>
  </r>
  <r>
    <s v="2000100800391"/>
    <s v="KILO SAVEGRE BLANCO C#24"/>
    <n v="-1.698"/>
    <x v="46"/>
    <n v="42050"/>
  </r>
  <r>
    <s v="2000100800392"/>
    <s v="KILO SAVEGRE NEGRO C#23"/>
    <n v="0"/>
    <x v="46"/>
    <n v="42050"/>
  </r>
  <r>
    <s v="2000100800393"/>
    <s v="KILO SAVEGRE GRIS OSCURO C#46"/>
    <n v="20"/>
    <x v="46"/>
    <n v="42050"/>
  </r>
  <r>
    <s v="2000100800394"/>
    <s v="KILO SAVEGRE AZUL NAVY C#47"/>
    <n v="19.3"/>
    <x v="46"/>
    <n v="42050"/>
  </r>
  <r>
    <s v="2000100800395"/>
    <s v="KILO SAVEGRE ROJO BRILLANTE C#72"/>
    <n v="2.9"/>
    <x v="46"/>
    <n v="42050"/>
  </r>
  <r>
    <s v="2000100800396"/>
    <s v="KILO SAVEGRE AZUL REY C#19"/>
    <n v="17.97"/>
    <x v="46"/>
    <n v="42050"/>
  </r>
  <r>
    <s v="2000100800397"/>
    <s v="KILO SAVEGRE FUCSIA C#9"/>
    <n v="21.992000000000001"/>
    <x v="46"/>
    <n v="42050"/>
  </r>
  <r>
    <s v="2000100800398"/>
    <s v="KILO MONTEZUMA NEGRO C#23"/>
    <n v="1.6"/>
    <x v="56"/>
    <n v="34500"/>
  </r>
  <r>
    <s v="2000100800399"/>
    <s v="KILO IRAZU LAVANDA C#41"/>
    <n v="1.0900000000000001"/>
    <x v="57"/>
    <n v="35200"/>
  </r>
  <r>
    <s v="2000100800400"/>
    <s v="KILO IRAZU CREMA DE LIMA C#80"/>
    <n v="-3.9E-2"/>
    <x v="57"/>
    <n v="35200"/>
  </r>
  <r>
    <s v="2000100800401"/>
    <s v="KILO IRAZU FUCSIA C#9"/>
    <n v="6.15"/>
    <x v="57"/>
    <n v="35200"/>
  </r>
  <r>
    <s v="2000100800402"/>
    <s v="KILO IRAZU ROJO BRILLANTE C#72"/>
    <n v="5.17"/>
    <x v="57"/>
    <n v="35200"/>
  </r>
  <r>
    <s v="2000100800403"/>
    <s v="KILO CONCHAL BLANCO C#24"/>
    <n v="1.4950000000000001"/>
    <x v="35"/>
    <n v="43700"/>
  </r>
  <r>
    <s v="2000100800404"/>
    <s v="KILO CONCHAL PALO ROSA C#6"/>
    <n v="2.8140000000000001"/>
    <x v="35"/>
    <n v="43700"/>
  </r>
  <r>
    <s v="2000100800405"/>
    <s v="KILO TAMARINDO TAUPE C#49"/>
    <n v="2.5049999999999999"/>
    <x v="52"/>
    <n v="40250"/>
  </r>
  <r>
    <s v="2000100800406"/>
    <s v="KILO TAMARINDO BLANCO C#24"/>
    <n v="-0.11799999999999999"/>
    <x v="52"/>
    <n v="40250"/>
  </r>
  <r>
    <s v="2000100800407"/>
    <s v="KILO TAMARINDO ROJO BRILLANTE C#72"/>
    <n v="6"/>
    <x v="52"/>
    <n v="40250"/>
  </r>
  <r>
    <s v="2000100800408"/>
    <s v="KILO DOMINICAL ESMERALDA"/>
    <n v="10.7"/>
    <x v="58"/>
    <n v="42550"/>
  </r>
  <r>
    <s v="2000100800409"/>
    <s v="KILO DOMINICAL NEGRO C#23"/>
    <n v="3.1"/>
    <x v="58"/>
    <n v="42550"/>
  </r>
  <r>
    <s v="2000100800410"/>
    <s v="KILO DOMINICAL FUCSIA C#9"/>
    <n v="4.5999999999999996"/>
    <x v="58"/>
    <n v="42550"/>
  </r>
  <r>
    <s v="2000100800411"/>
    <s v="KILO WAFER VERDE OLIVO C#44"/>
    <n v="0"/>
    <x v="18"/>
    <n v="32400"/>
  </r>
  <r>
    <s v="2000100800412"/>
    <s v="KILO WAFER LILA C#42"/>
    <n v="26"/>
    <x v="18"/>
    <n v="32400"/>
  </r>
  <r>
    <s v="2000100800413"/>
    <s v="KILO WAFER TERRACOTA C#52"/>
    <n v="52.5"/>
    <x v="18"/>
    <n v="32400"/>
  </r>
  <r>
    <s v="2000100800414"/>
    <s v="KILO WAFER ROJO BRILLANTE C#72"/>
    <n v="51"/>
    <x v="18"/>
    <n v="32400"/>
  </r>
  <r>
    <s v="2000100800415"/>
    <s v="KILO WAFER MENTA OSCURO C#63"/>
    <n v="55.5"/>
    <x v="18"/>
    <n v="32400"/>
  </r>
  <r>
    <s v="2000100800416"/>
    <s v="KILO JAQUARD LINEAS CAFÉ C#20"/>
    <n v="13.6"/>
    <x v="38"/>
    <n v="26100"/>
  </r>
  <r>
    <s v="2000100800417"/>
    <s v="KILO SATIN CRISPO VERDE OSCURO C#14"/>
    <n v="19.8"/>
    <x v="28"/>
    <n v="42240"/>
  </r>
  <r>
    <m/>
    <m/>
    <m/>
    <x v="59"/>
    <m/>
  </r>
  <r>
    <m/>
    <m/>
    <m/>
    <x v="59"/>
    <m/>
  </r>
  <r>
    <m/>
    <m/>
    <m/>
    <x v="59"/>
    <m/>
  </r>
  <r>
    <m/>
    <m/>
    <m/>
    <x v="59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2" cacheId="1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rowHeaderCaption="REFERENCIA">
  <location ref="A1:B62" firstHeaderRow="1" firstDataRow="1" firstDataCol="1"/>
  <pivotFields count="5">
    <pivotField showAll="0"/>
    <pivotField showAll="0"/>
    <pivotField showAll="0"/>
    <pivotField axis="axisRow" showAll="0" sortType="ascending">
      <items count="62">
        <item x="3"/>
        <item x="23"/>
        <item x="4"/>
        <item x="22"/>
        <item x="2"/>
        <item x="21"/>
        <item x="32"/>
        <item x="33"/>
        <item x="5"/>
        <item x="6"/>
        <item x="34"/>
        <item x="35"/>
        <item x="7"/>
        <item x="58"/>
        <item x="8"/>
        <item x="57"/>
        <item x="55"/>
        <item x="37"/>
        <item x="39"/>
        <item x="40"/>
        <item x="29"/>
        <item x="27"/>
        <item x="30"/>
        <item x="38"/>
        <item x="53"/>
        <item x="54"/>
        <item x="51"/>
        <item x="36"/>
        <item x="41"/>
        <item x="9"/>
        <item x="10"/>
        <item x="11"/>
        <item x="12"/>
        <item x="42"/>
        <item x="56"/>
        <item m="1" x="60"/>
        <item x="48"/>
        <item x="43"/>
        <item x="20"/>
        <item x="44"/>
        <item x="13"/>
        <item x="14"/>
        <item x="45"/>
        <item x="31"/>
        <item x="15"/>
        <item x="28"/>
        <item x="26"/>
        <item x="24"/>
        <item x="46"/>
        <item x="47"/>
        <item x="16"/>
        <item x="25"/>
        <item x="0"/>
        <item x="1"/>
        <item x="52"/>
        <item x="19"/>
        <item x="49"/>
        <item x="17"/>
        <item x="18"/>
        <item x="50"/>
        <item x="59"/>
        <item t="default"/>
      </items>
    </pivotField>
    <pivotField dataField="1" showAll="0"/>
  </pivotFields>
  <rowFields count="1">
    <field x="3"/>
  </rowFields>
  <rowItems count="6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 t="grand">
      <x/>
    </i>
  </rowItems>
  <colItems count="1">
    <i/>
  </colItems>
  <dataFields count="1">
    <dataField name="PRECIO KILO" fld="4" subtotal="max" baseField="3" baseItem="0"/>
  </dataFields>
  <formats count="18">
    <format dxfId="17">
      <pivotArea collapsedLevelsAreSubtotals="1" fieldPosition="0">
        <references count="1">
          <reference field="3" count="53">
            <x v="0"/>
            <x v="2"/>
            <x v="4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7"/>
            <x v="38"/>
            <x v="39"/>
            <x v="40"/>
            <x v="41"/>
            <x v="42"/>
            <x v="43"/>
            <x v="44"/>
            <x v="45"/>
            <x v="46"/>
            <x v="48"/>
            <x v="49"/>
            <x v="50"/>
            <x v="52"/>
            <x v="54"/>
            <x v="55"/>
            <x v="56"/>
            <x v="57"/>
            <x v="58"/>
            <x v="59"/>
          </reference>
        </references>
      </pivotArea>
    </format>
    <format dxfId="16">
      <pivotArea collapsedLevelsAreSubtotals="1" fieldPosition="0">
        <references count="1">
          <reference field="3" count="1">
            <x v="0"/>
          </reference>
        </references>
      </pivotArea>
    </format>
    <format dxfId="15">
      <pivotArea dataOnly="0" labelOnly="1" fieldPosition="0">
        <references count="1">
          <reference field="3" count="1">
            <x v="0"/>
          </reference>
        </references>
      </pivotArea>
    </format>
    <format dxfId="14">
      <pivotArea collapsedLevelsAreSubtotals="1" fieldPosition="0">
        <references count="1">
          <reference field="3" count="2">
            <x v="6"/>
            <x v="7"/>
          </reference>
        </references>
      </pivotArea>
    </format>
    <format dxfId="13">
      <pivotArea dataOnly="0" labelOnly="1" fieldPosition="0">
        <references count="1">
          <reference field="3" count="2">
            <x v="6"/>
            <x v="7"/>
          </reference>
        </references>
      </pivotArea>
    </format>
    <format dxfId="12">
      <pivotArea collapsedLevelsAreSubtotals="1" fieldPosition="0">
        <references count="1">
          <reference field="3" count="1">
            <x v="9"/>
          </reference>
        </references>
      </pivotArea>
    </format>
    <format dxfId="11">
      <pivotArea dataOnly="0" labelOnly="1" fieldPosition="0">
        <references count="1">
          <reference field="3" count="1">
            <x v="9"/>
          </reference>
        </references>
      </pivotArea>
    </format>
    <format dxfId="10">
      <pivotArea collapsedLevelsAreSubtotals="1" fieldPosition="0">
        <references count="1">
          <reference field="3" count="1">
            <x v="12"/>
          </reference>
        </references>
      </pivotArea>
    </format>
    <format dxfId="9">
      <pivotArea dataOnly="0" labelOnly="1" fieldPosition="0">
        <references count="1">
          <reference field="3" count="1">
            <x v="12"/>
          </reference>
        </references>
      </pivotArea>
    </format>
    <format dxfId="8">
      <pivotArea collapsedLevelsAreSubtotals="1" fieldPosition="0">
        <references count="1">
          <reference field="3" count="1">
            <x v="29"/>
          </reference>
        </references>
      </pivotArea>
    </format>
    <format dxfId="7">
      <pivotArea dataOnly="0" labelOnly="1" fieldPosition="0">
        <references count="1">
          <reference field="3" count="1">
            <x v="29"/>
          </reference>
        </references>
      </pivotArea>
    </format>
    <format dxfId="6">
      <pivotArea collapsedLevelsAreSubtotals="1" fieldPosition="0">
        <references count="1">
          <reference field="3" count="3">
            <x v="30"/>
            <x v="31"/>
            <x v="32"/>
          </reference>
        </references>
      </pivotArea>
    </format>
    <format dxfId="5">
      <pivotArea dataOnly="0" labelOnly="1" fieldPosition="0">
        <references count="1">
          <reference field="3" count="3">
            <x v="30"/>
            <x v="31"/>
            <x v="32"/>
          </reference>
        </references>
      </pivotArea>
    </format>
    <format dxfId="4">
      <pivotArea dataOnly="0" fieldPosition="0">
        <references count="1">
          <reference field="3" count="1">
            <x v="38"/>
          </reference>
        </references>
      </pivotArea>
    </format>
    <format dxfId="3">
      <pivotArea dataOnly="0" fieldPosition="0">
        <references count="1">
          <reference field="3" count="1">
            <x v="41"/>
          </reference>
        </references>
      </pivotArea>
    </format>
    <format dxfId="2">
      <pivotArea dataOnly="0" fieldPosition="0">
        <references count="1">
          <reference field="3" count="1">
            <x v="49"/>
          </reference>
        </references>
      </pivotArea>
    </format>
    <format dxfId="1">
      <pivotArea dataOnly="0" fieldPosition="0">
        <references count="1">
          <reference field="3" count="1">
            <x v="55"/>
          </reference>
        </references>
      </pivotArea>
    </format>
    <format dxfId="0">
      <pivotArea collapsedLevelsAreSubtotals="1" fieldPosition="0">
        <references count="1">
          <reference field="3" count="59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Views>
    <sheetView tabSelected="1" workbookViewId="0">
      <selection activeCell="H7" sqref="H7"/>
    </sheetView>
  </sheetViews>
  <sheetFormatPr baseColWidth="10" defaultRowHeight="15.75"/>
  <cols>
    <col min="1" max="1" width="35.28515625" style="29" bestFit="1" customWidth="1"/>
    <col min="2" max="2" width="14.85546875" style="29" bestFit="1" customWidth="1"/>
    <col min="3" max="3" width="17" style="29" bestFit="1" customWidth="1"/>
    <col min="4" max="4" width="15" style="29" bestFit="1" customWidth="1"/>
    <col min="5" max="5" width="23.42578125" style="29" bestFit="1" customWidth="1"/>
    <col min="6" max="7" width="12" style="29" bestFit="1" customWidth="1"/>
    <col min="8" max="16384" width="11.42578125" style="29"/>
  </cols>
  <sheetData>
    <row r="1" spans="1:6" ht="24" customHeight="1">
      <c r="A1" s="28" t="s">
        <v>857</v>
      </c>
      <c r="B1" s="28" t="s">
        <v>918</v>
      </c>
      <c r="C1" s="28" t="s">
        <v>1067</v>
      </c>
      <c r="D1" s="28" t="s">
        <v>919</v>
      </c>
      <c r="E1" s="28" t="s">
        <v>1071</v>
      </c>
    </row>
    <row r="2" spans="1:6">
      <c r="A2" s="30" t="s">
        <v>1073</v>
      </c>
      <c r="B2" s="31">
        <v>56250</v>
      </c>
      <c r="C2" s="32" t="s">
        <v>1068</v>
      </c>
      <c r="D2" s="33">
        <v>4.5</v>
      </c>
      <c r="E2" s="31">
        <f>B2/D2</f>
        <v>12500</v>
      </c>
    </row>
    <row r="3" spans="1:6">
      <c r="A3" s="30" t="s">
        <v>1070</v>
      </c>
      <c r="B3" s="31">
        <v>50400</v>
      </c>
      <c r="C3" s="32" t="s">
        <v>1068</v>
      </c>
      <c r="D3" s="33">
        <v>4.2</v>
      </c>
      <c r="E3" s="31">
        <f>B3/D3</f>
        <v>12000</v>
      </c>
      <c r="F3" s="34"/>
    </row>
    <row r="4" spans="1:6">
      <c r="A4" s="35" t="s">
        <v>1021</v>
      </c>
      <c r="B4" s="31">
        <v>45600</v>
      </c>
      <c r="C4" s="32" t="s">
        <v>1068</v>
      </c>
      <c r="D4" s="33">
        <v>3.8</v>
      </c>
      <c r="E4" s="31">
        <f>B4/D4</f>
        <v>12000</v>
      </c>
      <c r="F4" s="34"/>
    </row>
    <row r="5" spans="1:6">
      <c r="A5" s="30" t="s">
        <v>934</v>
      </c>
      <c r="B5" s="31">
        <v>44500</v>
      </c>
      <c r="C5" s="32" t="s">
        <v>1068</v>
      </c>
      <c r="D5" s="33">
        <v>3.3</v>
      </c>
      <c r="E5" s="31">
        <f>B5/D5</f>
        <v>13484.848484848486</v>
      </c>
    </row>
    <row r="6" spans="1:6">
      <c r="A6" s="30" t="s">
        <v>1078</v>
      </c>
      <c r="B6" s="31">
        <v>34000</v>
      </c>
      <c r="C6" s="32">
        <v>19400</v>
      </c>
      <c r="D6" s="33">
        <v>3.4</v>
      </c>
      <c r="E6" s="31">
        <v>10000</v>
      </c>
      <c r="F6" s="34"/>
    </row>
    <row r="7" spans="1:6">
      <c r="A7" s="30" t="s">
        <v>1077</v>
      </c>
      <c r="B7" s="31">
        <v>35700</v>
      </c>
      <c r="C7" s="32">
        <v>19400</v>
      </c>
      <c r="D7" s="33">
        <v>3.4</v>
      </c>
      <c r="E7" s="31">
        <v>10500</v>
      </c>
      <c r="F7" s="34"/>
    </row>
    <row r="8" spans="1:6">
      <c r="A8" s="30" t="s">
        <v>1066</v>
      </c>
      <c r="B8" s="31">
        <v>35700</v>
      </c>
      <c r="C8" s="32">
        <v>20900</v>
      </c>
      <c r="D8" s="33">
        <v>3.4</v>
      </c>
      <c r="E8" s="31">
        <f t="shared" ref="E8:E28" si="0">B8/D8</f>
        <v>10500</v>
      </c>
      <c r="F8" s="34"/>
    </row>
    <row r="9" spans="1:6">
      <c r="A9" s="30" t="s">
        <v>864</v>
      </c>
      <c r="B9" s="31">
        <v>32400</v>
      </c>
      <c r="C9" s="32">
        <v>27000</v>
      </c>
      <c r="D9" s="33">
        <v>2.7</v>
      </c>
      <c r="E9" s="31">
        <f t="shared" si="0"/>
        <v>12000</v>
      </c>
      <c r="F9" s="34"/>
    </row>
    <row r="10" spans="1:6">
      <c r="A10" s="30" t="s">
        <v>866</v>
      </c>
      <c r="B10" s="31">
        <v>37000</v>
      </c>
      <c r="C10" s="32" t="s">
        <v>1068</v>
      </c>
      <c r="D10" s="33">
        <v>2</v>
      </c>
      <c r="E10" s="31">
        <f t="shared" si="0"/>
        <v>18500</v>
      </c>
    </row>
    <row r="11" spans="1:6">
      <c r="A11" s="30" t="s">
        <v>867</v>
      </c>
      <c r="B11" s="31">
        <v>43700</v>
      </c>
      <c r="C11" s="32" t="s">
        <v>1068</v>
      </c>
      <c r="D11" s="33">
        <v>3.8</v>
      </c>
      <c r="E11" s="31">
        <f t="shared" si="0"/>
        <v>11500</v>
      </c>
    </row>
    <row r="12" spans="1:6">
      <c r="A12" s="30" t="s">
        <v>869</v>
      </c>
      <c r="B12" s="31">
        <v>42550</v>
      </c>
      <c r="C12" s="32" t="s">
        <v>1068</v>
      </c>
      <c r="D12" s="33">
        <v>3.7</v>
      </c>
      <c r="E12" s="31">
        <f t="shared" si="0"/>
        <v>11500</v>
      </c>
      <c r="F12" s="34"/>
    </row>
    <row r="13" spans="1:6">
      <c r="A13" s="30" t="s">
        <v>885</v>
      </c>
      <c r="B13" s="31">
        <v>34800</v>
      </c>
      <c r="C13" s="32" t="s">
        <v>1068</v>
      </c>
      <c r="D13" s="33">
        <v>2.9</v>
      </c>
      <c r="E13" s="31">
        <f t="shared" si="0"/>
        <v>12000</v>
      </c>
    </row>
    <row r="14" spans="1:6">
      <c r="A14" s="30" t="s">
        <v>870</v>
      </c>
      <c r="B14" s="31">
        <v>35200</v>
      </c>
      <c r="C14" s="32" t="s">
        <v>1068</v>
      </c>
      <c r="D14" s="33">
        <v>3.2</v>
      </c>
      <c r="E14" s="31">
        <f t="shared" si="0"/>
        <v>11000</v>
      </c>
      <c r="F14" s="34"/>
    </row>
    <row r="15" spans="1:6">
      <c r="A15" s="30" t="s">
        <v>886</v>
      </c>
      <c r="B15" s="31">
        <v>25050</v>
      </c>
      <c r="C15" s="32">
        <v>21500</v>
      </c>
      <c r="D15" s="33">
        <v>2.39</v>
      </c>
      <c r="E15" s="31">
        <f t="shared" si="0"/>
        <v>10481.171548117154</v>
      </c>
      <c r="F15" s="34"/>
    </row>
    <row r="16" spans="1:6">
      <c r="A16" s="30" t="s">
        <v>887</v>
      </c>
      <c r="B16" s="31">
        <v>34000</v>
      </c>
      <c r="C16" s="32" t="s">
        <v>1068</v>
      </c>
      <c r="D16" s="33">
        <v>4</v>
      </c>
      <c r="E16" s="31">
        <f t="shared" si="0"/>
        <v>8500</v>
      </c>
    </row>
    <row r="17" spans="1:6">
      <c r="A17" s="30" t="s">
        <v>888</v>
      </c>
      <c r="B17" s="31">
        <v>33500</v>
      </c>
      <c r="C17" s="32" t="s">
        <v>1068</v>
      </c>
      <c r="D17" s="33">
        <v>2.68</v>
      </c>
      <c r="E17" s="31">
        <f t="shared" si="0"/>
        <v>12500</v>
      </c>
      <c r="F17" s="34"/>
    </row>
    <row r="18" spans="1:6">
      <c r="A18" s="30" t="s">
        <v>889</v>
      </c>
      <c r="B18" s="31">
        <v>29050</v>
      </c>
      <c r="C18" s="32" t="s">
        <v>1068</v>
      </c>
      <c r="D18" s="33">
        <v>3.06</v>
      </c>
      <c r="E18" s="31">
        <f t="shared" si="0"/>
        <v>9493.4640522875816</v>
      </c>
      <c r="F18" s="34"/>
    </row>
    <row r="19" spans="1:6">
      <c r="A19" s="30" t="s">
        <v>890</v>
      </c>
      <c r="B19" s="31">
        <v>26880</v>
      </c>
      <c r="C19" s="32">
        <v>24500</v>
      </c>
      <c r="D19" s="33">
        <v>2.56</v>
      </c>
      <c r="E19" s="31">
        <f t="shared" si="0"/>
        <v>10500</v>
      </c>
      <c r="F19" s="34"/>
    </row>
    <row r="20" spans="1:6">
      <c r="A20" s="30" t="s">
        <v>891</v>
      </c>
      <c r="B20" s="31">
        <v>29070</v>
      </c>
      <c r="C20" s="32" t="s">
        <v>1068</v>
      </c>
      <c r="D20" s="33">
        <v>3.06</v>
      </c>
      <c r="E20" s="31">
        <f t="shared" si="0"/>
        <v>9500</v>
      </c>
      <c r="F20" s="34"/>
    </row>
    <row r="21" spans="1:6">
      <c r="A21" s="30" t="s">
        <v>892</v>
      </c>
      <c r="B21" s="31">
        <v>28775</v>
      </c>
      <c r="C21" s="32" t="s">
        <v>1068</v>
      </c>
      <c r="D21" s="33">
        <v>3.03</v>
      </c>
      <c r="E21" s="31">
        <f t="shared" si="0"/>
        <v>9496.699669966998</v>
      </c>
      <c r="F21" s="34"/>
    </row>
    <row r="22" spans="1:6">
      <c r="A22" s="30" t="s">
        <v>893</v>
      </c>
      <c r="B22" s="31">
        <v>26100</v>
      </c>
      <c r="C22" s="32" t="s">
        <v>1068</v>
      </c>
      <c r="D22" s="33">
        <v>2.4900000000000002</v>
      </c>
      <c r="E22" s="31">
        <f t="shared" si="0"/>
        <v>10481.927710843373</v>
      </c>
      <c r="F22" s="34"/>
    </row>
    <row r="23" spans="1:6">
      <c r="A23" s="30" t="s">
        <v>894</v>
      </c>
      <c r="B23" s="31">
        <v>24990</v>
      </c>
      <c r="C23" s="32">
        <v>23000</v>
      </c>
      <c r="D23" s="33">
        <v>2.38</v>
      </c>
      <c r="E23" s="31">
        <f t="shared" si="0"/>
        <v>10500</v>
      </c>
      <c r="F23" s="34"/>
    </row>
    <row r="24" spans="1:6">
      <c r="A24" s="30" t="s">
        <v>895</v>
      </c>
      <c r="B24" s="31">
        <v>27720</v>
      </c>
      <c r="C24" s="32">
        <v>26000</v>
      </c>
      <c r="D24" s="33">
        <v>2.64</v>
      </c>
      <c r="E24" s="31">
        <f t="shared" si="0"/>
        <v>10500</v>
      </c>
      <c r="F24" s="34"/>
    </row>
    <row r="25" spans="1:6">
      <c r="A25" s="30" t="s">
        <v>896</v>
      </c>
      <c r="B25" s="31">
        <v>28600</v>
      </c>
      <c r="C25" s="32">
        <v>25000</v>
      </c>
      <c r="D25" s="33">
        <v>2.4900000000000002</v>
      </c>
      <c r="E25" s="31">
        <f t="shared" si="0"/>
        <v>11485.943775100401</v>
      </c>
      <c r="F25" s="34"/>
    </row>
    <row r="26" spans="1:6">
      <c r="A26" s="30" t="s">
        <v>897</v>
      </c>
      <c r="B26" s="31">
        <v>25050</v>
      </c>
      <c r="C26" s="32">
        <v>21500</v>
      </c>
      <c r="D26" s="33">
        <v>2.39</v>
      </c>
      <c r="E26" s="31">
        <f t="shared" si="0"/>
        <v>10481.171548117154</v>
      </c>
      <c r="F26" s="34"/>
    </row>
    <row r="27" spans="1:6">
      <c r="A27" s="30" t="s">
        <v>898</v>
      </c>
      <c r="B27" s="31">
        <v>29000</v>
      </c>
      <c r="C27" s="32" t="s">
        <v>1068</v>
      </c>
      <c r="D27" s="33">
        <v>2.15</v>
      </c>
      <c r="E27" s="31">
        <f t="shared" si="0"/>
        <v>13488.372093023256</v>
      </c>
      <c r="F27" s="34"/>
    </row>
    <row r="28" spans="1:6">
      <c r="A28" s="30" t="s">
        <v>871</v>
      </c>
      <c r="B28" s="31">
        <v>33600</v>
      </c>
      <c r="C28" s="32" t="s">
        <v>1068</v>
      </c>
      <c r="D28" s="33">
        <v>2.8</v>
      </c>
      <c r="E28" s="31">
        <f t="shared" si="0"/>
        <v>12000</v>
      </c>
      <c r="F28" s="34"/>
    </row>
    <row r="29" spans="1:6">
      <c r="A29" s="35" t="s">
        <v>1028</v>
      </c>
      <c r="B29" s="31">
        <f>E29*D29</f>
        <v>57360</v>
      </c>
      <c r="C29" s="32" t="s">
        <v>1068</v>
      </c>
      <c r="D29" s="33">
        <v>7.17</v>
      </c>
      <c r="E29" s="36">
        <v>8000</v>
      </c>
      <c r="F29" s="34"/>
    </row>
    <row r="30" spans="1:6">
      <c r="A30" s="30" t="s">
        <v>872</v>
      </c>
      <c r="B30" s="31">
        <v>34500</v>
      </c>
      <c r="C30" s="32" t="s">
        <v>1068</v>
      </c>
      <c r="D30" s="33">
        <v>3</v>
      </c>
      <c r="E30" s="31">
        <f t="shared" ref="E30:E37" si="1">B30/D30</f>
        <v>11500</v>
      </c>
      <c r="F30" s="34"/>
    </row>
    <row r="31" spans="1:6">
      <c r="A31" s="35" t="s">
        <v>1010</v>
      </c>
      <c r="B31" s="31">
        <v>41800</v>
      </c>
      <c r="C31" s="32"/>
      <c r="D31" s="33">
        <v>3.8</v>
      </c>
      <c r="E31" s="31">
        <f t="shared" si="1"/>
        <v>11000</v>
      </c>
      <c r="F31" s="34"/>
    </row>
    <row r="32" spans="1:6">
      <c r="A32" s="30" t="s">
        <v>974</v>
      </c>
      <c r="B32" s="31">
        <v>37500</v>
      </c>
      <c r="C32" s="32" t="s">
        <v>1068</v>
      </c>
      <c r="D32" s="33">
        <v>2.5</v>
      </c>
      <c r="E32" s="31">
        <f t="shared" si="1"/>
        <v>15000</v>
      </c>
      <c r="F32" s="34"/>
    </row>
    <row r="33" spans="1:6">
      <c r="A33" s="30" t="s">
        <v>873</v>
      </c>
      <c r="B33" s="31">
        <v>39900</v>
      </c>
      <c r="C33" s="32" t="s">
        <v>1068</v>
      </c>
      <c r="D33" s="33">
        <v>3.8</v>
      </c>
      <c r="E33" s="31">
        <f t="shared" si="1"/>
        <v>10500</v>
      </c>
    </row>
    <row r="34" spans="1:6">
      <c r="A34" s="30" t="s">
        <v>875</v>
      </c>
      <c r="B34" s="31">
        <v>28750</v>
      </c>
      <c r="C34" s="32" t="s">
        <v>1068</v>
      </c>
      <c r="D34" s="33">
        <v>2.2999999999999998</v>
      </c>
      <c r="E34" s="31">
        <f t="shared" si="1"/>
        <v>12500.000000000002</v>
      </c>
    </row>
    <row r="35" spans="1:6">
      <c r="A35" s="30" t="s">
        <v>903</v>
      </c>
      <c r="B35" s="31">
        <v>42000</v>
      </c>
      <c r="C35" s="32">
        <v>33000</v>
      </c>
      <c r="D35" s="33">
        <v>2.8</v>
      </c>
      <c r="E35" s="31">
        <f t="shared" si="1"/>
        <v>15000.000000000002</v>
      </c>
    </row>
    <row r="36" spans="1:6">
      <c r="A36" s="30" t="s">
        <v>913</v>
      </c>
      <c r="B36" s="31">
        <v>31800</v>
      </c>
      <c r="C36" s="32">
        <v>24000</v>
      </c>
      <c r="D36" s="33">
        <v>3.18</v>
      </c>
      <c r="E36" s="31">
        <f t="shared" si="1"/>
        <v>10000</v>
      </c>
    </row>
    <row r="37" spans="1:6">
      <c r="A37" s="30" t="s">
        <v>904</v>
      </c>
      <c r="B37" s="31">
        <v>29750</v>
      </c>
      <c r="C37" s="32">
        <v>25500</v>
      </c>
      <c r="D37" s="33">
        <v>2.38</v>
      </c>
      <c r="E37" s="31">
        <f t="shared" si="1"/>
        <v>12500</v>
      </c>
      <c r="F37" s="34"/>
    </row>
    <row r="38" spans="1:6">
      <c r="A38" s="35" t="s">
        <v>1041</v>
      </c>
      <c r="B38" s="31">
        <f>E38*D38</f>
        <v>33300</v>
      </c>
      <c r="C38" s="32" t="s">
        <v>1068</v>
      </c>
      <c r="D38" s="33">
        <v>3.33</v>
      </c>
      <c r="E38" s="36">
        <v>10000</v>
      </c>
    </row>
    <row r="39" spans="1:6">
      <c r="A39" s="30" t="s">
        <v>877</v>
      </c>
      <c r="B39" s="31">
        <v>52800</v>
      </c>
      <c r="C39" s="32">
        <v>42000</v>
      </c>
      <c r="D39" s="33">
        <v>6.6</v>
      </c>
      <c r="E39" s="31">
        <f t="shared" ref="E39:E44" si="2">B39/D39</f>
        <v>8000</v>
      </c>
      <c r="F39" s="34"/>
    </row>
    <row r="40" spans="1:6">
      <c r="A40" s="30" t="s">
        <v>905</v>
      </c>
      <c r="B40" s="31">
        <v>52320</v>
      </c>
      <c r="C40" s="32">
        <v>42000</v>
      </c>
      <c r="D40" s="33">
        <v>4.55</v>
      </c>
      <c r="E40" s="31">
        <f t="shared" si="2"/>
        <v>11498.901098901099</v>
      </c>
      <c r="F40" s="34"/>
    </row>
    <row r="41" spans="1:6">
      <c r="A41" s="30" t="s">
        <v>906</v>
      </c>
      <c r="B41" s="31">
        <v>49440</v>
      </c>
      <c r="C41" s="32">
        <v>42000</v>
      </c>
      <c r="D41" s="33">
        <v>6.18</v>
      </c>
      <c r="E41" s="31">
        <f t="shared" si="2"/>
        <v>8000</v>
      </c>
    </row>
    <row r="42" spans="1:6">
      <c r="A42" s="30" t="s">
        <v>987</v>
      </c>
      <c r="B42" s="31">
        <v>87500</v>
      </c>
      <c r="C42" s="32" t="s">
        <v>1068</v>
      </c>
      <c r="D42" s="33">
        <v>7</v>
      </c>
      <c r="E42" s="31">
        <f t="shared" si="2"/>
        <v>12500</v>
      </c>
      <c r="F42" s="34"/>
    </row>
    <row r="43" spans="1:6">
      <c r="A43" s="30" t="s">
        <v>878</v>
      </c>
      <c r="B43" s="31">
        <v>42050</v>
      </c>
      <c r="C43" s="32" t="s">
        <v>1068</v>
      </c>
      <c r="D43" s="33">
        <v>2.9</v>
      </c>
      <c r="E43" s="31">
        <f t="shared" si="2"/>
        <v>14500</v>
      </c>
      <c r="F43" s="34"/>
    </row>
    <row r="44" spans="1:6">
      <c r="A44" s="30" t="s">
        <v>1079</v>
      </c>
      <c r="B44" s="31">
        <v>36700</v>
      </c>
      <c r="C44" s="32">
        <v>25000</v>
      </c>
      <c r="D44" s="33">
        <v>4.9000000000000004</v>
      </c>
      <c r="E44" s="31">
        <f t="shared" si="2"/>
        <v>7489.7959183673465</v>
      </c>
    </row>
    <row r="45" spans="1:6">
      <c r="A45" s="30" t="s">
        <v>1080</v>
      </c>
      <c r="B45" s="31">
        <v>44100</v>
      </c>
      <c r="C45" s="32">
        <v>25000</v>
      </c>
      <c r="D45" s="33">
        <v>4.9000000000000004</v>
      </c>
      <c r="E45" s="31">
        <v>9000</v>
      </c>
      <c r="F45" s="34"/>
    </row>
    <row r="46" spans="1:6">
      <c r="A46" s="30" t="s">
        <v>1074</v>
      </c>
      <c r="B46" s="31">
        <v>61200</v>
      </c>
      <c r="C46" s="32" t="s">
        <v>1068</v>
      </c>
      <c r="D46" s="33">
        <v>4.9000000000000004</v>
      </c>
      <c r="E46" s="31">
        <f>B46/D46</f>
        <v>12489.795918367347</v>
      </c>
      <c r="F46" s="34"/>
    </row>
    <row r="47" spans="1:6">
      <c r="A47" s="30" t="s">
        <v>879</v>
      </c>
      <c r="B47" s="31">
        <v>22900</v>
      </c>
      <c r="C47" s="32">
        <v>18900</v>
      </c>
      <c r="D47" s="33">
        <v>3.6</v>
      </c>
      <c r="E47" s="31">
        <f>B47/D47</f>
        <v>6361.1111111111113</v>
      </c>
    </row>
    <row r="48" spans="1:6">
      <c r="A48" s="30" t="s">
        <v>1069</v>
      </c>
      <c r="B48" s="31">
        <v>33500</v>
      </c>
      <c r="C48" s="32" t="s">
        <v>1068</v>
      </c>
      <c r="D48" s="33">
        <v>3.6</v>
      </c>
      <c r="E48" s="31">
        <f>B48/D48</f>
        <v>9305.5555555555547</v>
      </c>
      <c r="F48" s="34"/>
    </row>
    <row r="49" spans="1:7">
      <c r="A49" s="35" t="s">
        <v>1075</v>
      </c>
      <c r="B49" s="31">
        <f>E49*D49</f>
        <v>34500</v>
      </c>
      <c r="C49" s="32" t="s">
        <v>1068</v>
      </c>
      <c r="D49" s="33">
        <v>2.2999999999999998</v>
      </c>
      <c r="E49" s="36">
        <v>15000</v>
      </c>
      <c r="F49" s="34"/>
    </row>
    <row r="50" spans="1:7">
      <c r="A50" s="30" t="s">
        <v>880</v>
      </c>
      <c r="B50" s="31">
        <v>40250</v>
      </c>
      <c r="C50" s="32" t="s">
        <v>1068</v>
      </c>
      <c r="D50" s="33">
        <v>3.5</v>
      </c>
      <c r="E50" s="31">
        <f>B50/D50</f>
        <v>11500</v>
      </c>
    </row>
    <row r="51" spans="1:7">
      <c r="A51" s="30" t="s">
        <v>910</v>
      </c>
      <c r="B51" s="31">
        <v>28150</v>
      </c>
      <c r="C51" s="32" t="s">
        <v>1068</v>
      </c>
      <c r="D51" s="33">
        <v>2.56</v>
      </c>
      <c r="E51" s="31">
        <f>B51/D51</f>
        <v>10996.09375</v>
      </c>
      <c r="F51" s="34"/>
    </row>
    <row r="52" spans="1:7">
      <c r="A52" s="30" t="s">
        <v>883</v>
      </c>
      <c r="B52" s="31">
        <v>26325</v>
      </c>
      <c r="C52" s="32">
        <v>25000</v>
      </c>
      <c r="D52" s="33">
        <v>1.95</v>
      </c>
      <c r="E52" s="31">
        <f>B52/D52</f>
        <v>13500</v>
      </c>
      <c r="F52" s="37"/>
      <c r="G52" s="37"/>
    </row>
    <row r="53" spans="1:7">
      <c r="A53" s="30" t="s">
        <v>884</v>
      </c>
      <c r="B53" s="31">
        <v>32400</v>
      </c>
      <c r="C53" s="32">
        <v>24000</v>
      </c>
      <c r="D53" s="33">
        <v>2.7</v>
      </c>
      <c r="E53" s="31">
        <f>B53/D53</f>
        <v>12000</v>
      </c>
      <c r="F53" s="34"/>
      <c r="G53" s="34"/>
    </row>
    <row r="54" spans="1:7">
      <c r="A54" s="30" t="s">
        <v>911</v>
      </c>
      <c r="B54" s="31">
        <v>35100</v>
      </c>
      <c r="C54" s="32" t="s">
        <v>1068</v>
      </c>
      <c r="D54" s="33">
        <v>2.6</v>
      </c>
      <c r="E54" s="31">
        <f>B54/D54</f>
        <v>13500</v>
      </c>
      <c r="F54" s="34"/>
    </row>
    <row r="55" spans="1:7">
      <c r="A55" s="38" t="s">
        <v>860</v>
      </c>
      <c r="B55" s="39"/>
      <c r="C55" s="40">
        <v>14500</v>
      </c>
      <c r="D55" s="41">
        <v>3.3</v>
      </c>
      <c r="E55" s="39">
        <f t="shared" ref="E55:E68" si="3">C55/D55</f>
        <v>4393.939393939394</v>
      </c>
      <c r="F55" s="34"/>
    </row>
    <row r="56" spans="1:7">
      <c r="A56" s="38" t="s">
        <v>862</v>
      </c>
      <c r="B56" s="39"/>
      <c r="C56" s="40">
        <v>14500</v>
      </c>
      <c r="D56" s="41">
        <v>2.58</v>
      </c>
      <c r="E56" s="39">
        <f t="shared" si="3"/>
        <v>5620.1550387596899</v>
      </c>
      <c r="F56" s="34"/>
    </row>
    <row r="57" spans="1:7">
      <c r="A57" s="38" t="s">
        <v>863</v>
      </c>
      <c r="B57" s="39"/>
      <c r="C57" s="40">
        <v>14500</v>
      </c>
      <c r="D57" s="41">
        <v>2.66</v>
      </c>
      <c r="E57" s="39">
        <f t="shared" si="3"/>
        <v>5451.1278195488721</v>
      </c>
      <c r="F57" s="34"/>
    </row>
    <row r="58" spans="1:7">
      <c r="A58" s="38" t="s">
        <v>865</v>
      </c>
      <c r="B58" s="39"/>
      <c r="C58" s="40">
        <v>14500</v>
      </c>
      <c r="D58" s="41">
        <v>3.8</v>
      </c>
      <c r="E58" s="39">
        <f t="shared" si="3"/>
        <v>3815.7894736842109</v>
      </c>
      <c r="F58" s="34"/>
    </row>
    <row r="59" spans="1:7">
      <c r="A59" s="38" t="s">
        <v>868</v>
      </c>
      <c r="B59" s="39"/>
      <c r="C59" s="40">
        <v>14500</v>
      </c>
      <c r="D59" s="41">
        <v>3.8</v>
      </c>
      <c r="E59" s="39">
        <f t="shared" si="3"/>
        <v>3815.7894736842109</v>
      </c>
    </row>
    <row r="60" spans="1:7">
      <c r="A60" s="38" t="s">
        <v>899</v>
      </c>
      <c r="B60" s="39"/>
      <c r="C60" s="40">
        <v>14500</v>
      </c>
      <c r="D60" s="41">
        <v>2.1</v>
      </c>
      <c r="E60" s="39">
        <f t="shared" si="3"/>
        <v>6904.7619047619046</v>
      </c>
      <c r="F60" s="34"/>
    </row>
    <row r="61" spans="1:7">
      <c r="A61" s="38" t="s">
        <v>900</v>
      </c>
      <c r="B61" s="39"/>
      <c r="C61" s="40">
        <v>14500</v>
      </c>
      <c r="D61" s="41">
        <v>4</v>
      </c>
      <c r="E61" s="39">
        <f t="shared" si="3"/>
        <v>3625</v>
      </c>
      <c r="F61" s="34"/>
    </row>
    <row r="62" spans="1:7">
      <c r="A62" s="38" t="s">
        <v>901</v>
      </c>
      <c r="B62" s="39"/>
      <c r="C62" s="40">
        <v>14500</v>
      </c>
      <c r="D62" s="41">
        <v>4.3</v>
      </c>
      <c r="E62" s="39">
        <f t="shared" si="3"/>
        <v>3372.0930232558139</v>
      </c>
      <c r="F62" s="34"/>
    </row>
    <row r="63" spans="1:7">
      <c r="A63" s="38" t="s">
        <v>902</v>
      </c>
      <c r="B63" s="39"/>
      <c r="C63" s="40">
        <v>14500</v>
      </c>
      <c r="D63" s="41">
        <v>4.5999999999999996</v>
      </c>
      <c r="E63" s="39">
        <f t="shared" si="3"/>
        <v>3152.1739130434785</v>
      </c>
    </row>
    <row r="64" spans="1:7">
      <c r="A64" s="42" t="s">
        <v>971</v>
      </c>
      <c r="B64" s="39"/>
      <c r="C64" s="40">
        <v>14500</v>
      </c>
      <c r="D64" s="41">
        <v>5.7</v>
      </c>
      <c r="E64" s="43">
        <f t="shared" si="3"/>
        <v>2543.8596491228068</v>
      </c>
      <c r="F64" s="34"/>
    </row>
    <row r="65" spans="1:6">
      <c r="A65" s="38" t="s">
        <v>874</v>
      </c>
      <c r="B65" s="39"/>
      <c r="C65" s="40">
        <v>14500</v>
      </c>
      <c r="D65" s="41">
        <v>2.5</v>
      </c>
      <c r="E65" s="39">
        <f t="shared" si="3"/>
        <v>5800</v>
      </c>
      <c r="F65" s="34"/>
    </row>
    <row r="66" spans="1:6">
      <c r="A66" s="38" t="s">
        <v>876</v>
      </c>
      <c r="B66" s="39"/>
      <c r="C66" s="40">
        <v>14500</v>
      </c>
      <c r="D66" s="41">
        <v>3.2</v>
      </c>
      <c r="E66" s="39">
        <f t="shared" si="3"/>
        <v>4531.25</v>
      </c>
    </row>
    <row r="67" spans="1:6">
      <c r="A67" s="38" t="s">
        <v>907</v>
      </c>
      <c r="B67" s="39"/>
      <c r="C67" s="40">
        <v>14500</v>
      </c>
      <c r="D67" s="41">
        <v>2.6</v>
      </c>
      <c r="E67" s="39">
        <f t="shared" si="3"/>
        <v>5576.9230769230771</v>
      </c>
    </row>
    <row r="68" spans="1:6">
      <c r="A68" s="42" t="s">
        <v>1007</v>
      </c>
      <c r="B68" s="39"/>
      <c r="C68" s="40">
        <v>14500</v>
      </c>
      <c r="D68" s="41">
        <v>2.5</v>
      </c>
      <c r="E68" s="43">
        <f t="shared" si="3"/>
        <v>5800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6"/>
  <sheetViews>
    <sheetView workbookViewId="0">
      <selection activeCell="D15" sqref="D15"/>
    </sheetView>
  </sheetViews>
  <sheetFormatPr baseColWidth="10" defaultColWidth="68.28515625" defaultRowHeight="12.75"/>
  <cols>
    <col min="1" max="1" width="35.7109375" style="20" bestFit="1" customWidth="1"/>
    <col min="2" max="2" width="43.28515625" style="20" bestFit="1" customWidth="1"/>
    <col min="3" max="3" width="18.5703125" style="20" bestFit="1" customWidth="1"/>
    <col min="4" max="16384" width="68.28515625" style="20"/>
  </cols>
  <sheetData>
    <row r="1" spans="1:3">
      <c r="A1" s="21" t="s">
        <v>920</v>
      </c>
      <c r="B1" s="22" t="s">
        <v>921</v>
      </c>
      <c r="C1" s="22" t="s">
        <v>922</v>
      </c>
    </row>
    <row r="2" spans="1:3">
      <c r="A2" s="23" t="s">
        <v>923</v>
      </c>
      <c r="B2" s="23" t="s">
        <v>860</v>
      </c>
      <c r="C2" s="23" t="s">
        <v>924</v>
      </c>
    </row>
    <row r="3" spans="1:3">
      <c r="A3" s="23" t="s">
        <v>925</v>
      </c>
      <c r="B3" s="23" t="s">
        <v>926</v>
      </c>
      <c r="C3" s="23" t="s">
        <v>927</v>
      </c>
    </row>
    <row r="4" spans="1:3">
      <c r="A4" s="23" t="s">
        <v>928</v>
      </c>
      <c r="B4" s="23" t="s">
        <v>929</v>
      </c>
      <c r="C4" s="23" t="s">
        <v>930</v>
      </c>
    </row>
    <row r="5" spans="1:3">
      <c r="A5" s="23" t="s">
        <v>1020</v>
      </c>
      <c r="B5" s="24" t="s">
        <v>1021</v>
      </c>
      <c r="C5" s="23" t="s">
        <v>938</v>
      </c>
    </row>
    <row r="6" spans="1:3">
      <c r="A6" s="23" t="s">
        <v>931</v>
      </c>
      <c r="B6" s="23" t="s">
        <v>932</v>
      </c>
      <c r="C6" s="23" t="s">
        <v>933</v>
      </c>
    </row>
    <row r="7" spans="1:3">
      <c r="A7" s="23" t="s">
        <v>931</v>
      </c>
      <c r="B7" s="23" t="s">
        <v>934</v>
      </c>
      <c r="C7" s="23" t="s">
        <v>924</v>
      </c>
    </row>
    <row r="8" spans="1:3">
      <c r="A8" s="23" t="s">
        <v>935</v>
      </c>
      <c r="B8" s="23" t="s">
        <v>935</v>
      </c>
      <c r="C8" s="23" t="s">
        <v>936</v>
      </c>
    </row>
    <row r="9" spans="1:3">
      <c r="A9" s="23" t="s">
        <v>1025</v>
      </c>
      <c r="B9" s="24" t="s">
        <v>862</v>
      </c>
      <c r="C9" s="23" t="s">
        <v>1026</v>
      </c>
    </row>
    <row r="10" spans="1:3">
      <c r="A10" s="23" t="s">
        <v>1061</v>
      </c>
      <c r="B10" s="24" t="s">
        <v>863</v>
      </c>
      <c r="C10" s="23" t="s">
        <v>1062</v>
      </c>
    </row>
    <row r="11" spans="1:3">
      <c r="A11" s="23" t="s">
        <v>1011</v>
      </c>
      <c r="B11" s="24" t="s">
        <v>864</v>
      </c>
      <c r="C11" s="23" t="s">
        <v>946</v>
      </c>
    </row>
    <row r="12" spans="1:3">
      <c r="A12" s="23" t="s">
        <v>937</v>
      </c>
      <c r="B12" s="23" t="s">
        <v>865</v>
      </c>
      <c r="C12" s="23" t="s">
        <v>938</v>
      </c>
    </row>
    <row r="13" spans="1:3">
      <c r="A13" s="23" t="s">
        <v>939</v>
      </c>
      <c r="B13" s="23" t="s">
        <v>866</v>
      </c>
      <c r="C13" s="24" t="s">
        <v>940</v>
      </c>
    </row>
    <row r="14" spans="1:3">
      <c r="A14" s="23" t="s">
        <v>1012</v>
      </c>
      <c r="B14" s="24" t="s">
        <v>867</v>
      </c>
      <c r="C14" s="23" t="s">
        <v>938</v>
      </c>
    </row>
    <row r="15" spans="1:3">
      <c r="A15" s="23" t="s">
        <v>941</v>
      </c>
      <c r="B15" s="23" t="s">
        <v>942</v>
      </c>
      <c r="C15" s="23" t="s">
        <v>938</v>
      </c>
    </row>
    <row r="16" spans="1:3">
      <c r="A16" s="23" t="s">
        <v>943</v>
      </c>
      <c r="B16" s="23" t="s">
        <v>943</v>
      </c>
      <c r="C16" s="23" t="s">
        <v>924</v>
      </c>
    </row>
    <row r="17" spans="1:3">
      <c r="A17" s="23" t="s">
        <v>1013</v>
      </c>
      <c r="B17" s="24" t="s">
        <v>869</v>
      </c>
      <c r="C17" s="23" t="s">
        <v>1014</v>
      </c>
    </row>
    <row r="18" spans="1:3">
      <c r="A18" s="23" t="s">
        <v>944</v>
      </c>
      <c r="B18" s="23" t="s">
        <v>945</v>
      </c>
      <c r="C18" s="23" t="s">
        <v>946</v>
      </c>
    </row>
    <row r="19" spans="1:3">
      <c r="A19" s="23" t="s">
        <v>947</v>
      </c>
      <c r="B19" s="23" t="s">
        <v>948</v>
      </c>
      <c r="C19" s="23" t="s">
        <v>949</v>
      </c>
    </row>
    <row r="20" spans="1:3">
      <c r="A20" s="23" t="s">
        <v>1015</v>
      </c>
      <c r="B20" s="24" t="s">
        <v>870</v>
      </c>
      <c r="C20" s="23" t="s">
        <v>983</v>
      </c>
    </row>
    <row r="21" spans="1:3">
      <c r="A21" s="23" t="s">
        <v>1063</v>
      </c>
      <c r="B21" s="24" t="s">
        <v>886</v>
      </c>
      <c r="C21" s="23" t="s">
        <v>1064</v>
      </c>
    </row>
    <row r="22" spans="1:3">
      <c r="A22" s="23" t="s">
        <v>1039</v>
      </c>
      <c r="B22" s="24" t="s">
        <v>887</v>
      </c>
      <c r="C22" s="23">
        <v>4</v>
      </c>
    </row>
    <row r="23" spans="1:3">
      <c r="A23" s="23" t="s">
        <v>1035</v>
      </c>
      <c r="B23" s="24" t="s">
        <v>888</v>
      </c>
      <c r="C23" s="23" t="s">
        <v>1036</v>
      </c>
    </row>
    <row r="24" spans="1:3">
      <c r="A24" s="23" t="s">
        <v>1050</v>
      </c>
      <c r="B24" s="24" t="s">
        <v>889</v>
      </c>
      <c r="C24" s="23" t="s">
        <v>1038</v>
      </c>
    </row>
    <row r="25" spans="1:3">
      <c r="A25" s="23" t="s">
        <v>1016</v>
      </c>
      <c r="B25" s="24" t="s">
        <v>890</v>
      </c>
      <c r="C25" s="23" t="s">
        <v>1017</v>
      </c>
    </row>
    <row r="26" spans="1:3">
      <c r="A26" s="23" t="s">
        <v>1037</v>
      </c>
      <c r="B26" s="24" t="s">
        <v>891</v>
      </c>
      <c r="C26" s="23" t="s">
        <v>1038</v>
      </c>
    </row>
    <row r="27" spans="1:3">
      <c r="A27" s="23" t="s">
        <v>1051</v>
      </c>
      <c r="B27" s="24" t="s">
        <v>892</v>
      </c>
      <c r="C27" s="23" t="s">
        <v>1052</v>
      </c>
    </row>
    <row r="28" spans="1:3">
      <c r="A28" s="23" t="s">
        <v>1047</v>
      </c>
      <c r="B28" s="24" t="s">
        <v>893</v>
      </c>
      <c r="C28" s="23" t="s">
        <v>1048</v>
      </c>
    </row>
    <row r="29" spans="1:3">
      <c r="A29" s="23" t="s">
        <v>1059</v>
      </c>
      <c r="B29" s="24" t="s">
        <v>894</v>
      </c>
      <c r="C29" s="23" t="s">
        <v>1031</v>
      </c>
    </row>
    <row r="30" spans="1:3">
      <c r="A30" s="23" t="s">
        <v>1055</v>
      </c>
      <c r="B30" s="24" t="s">
        <v>895</v>
      </c>
      <c r="C30" s="23" t="s">
        <v>1056</v>
      </c>
    </row>
    <row r="31" spans="1:3">
      <c r="A31" s="23" t="s">
        <v>1060</v>
      </c>
      <c r="B31" s="24" t="s">
        <v>896</v>
      </c>
      <c r="C31" s="23" t="s">
        <v>1048</v>
      </c>
    </row>
    <row r="32" spans="1:3">
      <c r="A32" s="23" t="s">
        <v>1065</v>
      </c>
      <c r="B32" s="24" t="s">
        <v>897</v>
      </c>
      <c r="C32" s="23" t="s">
        <v>1064</v>
      </c>
    </row>
    <row r="33" spans="1:3">
      <c r="A33" s="23" t="s">
        <v>1023</v>
      </c>
      <c r="B33" s="24" t="s">
        <v>898</v>
      </c>
      <c r="C33" s="23" t="s">
        <v>1024</v>
      </c>
    </row>
    <row r="34" spans="1:3">
      <c r="A34" s="23" t="s">
        <v>899</v>
      </c>
      <c r="B34" s="23" t="s">
        <v>950</v>
      </c>
      <c r="C34" s="23" t="s">
        <v>951</v>
      </c>
    </row>
    <row r="35" spans="1:3">
      <c r="A35" s="23" t="s">
        <v>899</v>
      </c>
      <c r="B35" s="23" t="s">
        <v>952</v>
      </c>
      <c r="C35" s="23" t="s">
        <v>953</v>
      </c>
    </row>
    <row r="36" spans="1:3">
      <c r="A36" s="23" t="s">
        <v>956</v>
      </c>
      <c r="B36" s="23" t="s">
        <v>900</v>
      </c>
      <c r="C36" s="24">
        <v>4</v>
      </c>
    </row>
    <row r="37" spans="1:3">
      <c r="A37" s="23" t="s">
        <v>957</v>
      </c>
      <c r="B37" s="23" t="s">
        <v>958</v>
      </c>
      <c r="C37" s="24" t="s">
        <v>959</v>
      </c>
    </row>
    <row r="38" spans="1:3">
      <c r="A38" s="23" t="s">
        <v>954</v>
      </c>
      <c r="B38" s="23" t="s">
        <v>902</v>
      </c>
      <c r="C38" s="23" t="s">
        <v>955</v>
      </c>
    </row>
    <row r="39" spans="1:3">
      <c r="A39" s="23" t="s">
        <v>954</v>
      </c>
      <c r="B39" s="23" t="s">
        <v>960</v>
      </c>
      <c r="C39" s="24" t="s">
        <v>961</v>
      </c>
    </row>
    <row r="40" spans="1:3">
      <c r="A40" s="23" t="s">
        <v>962</v>
      </c>
      <c r="B40" s="23" t="s">
        <v>963</v>
      </c>
      <c r="C40" s="23" t="s">
        <v>964</v>
      </c>
    </row>
    <row r="41" spans="1:3">
      <c r="A41" s="23" t="s">
        <v>965</v>
      </c>
      <c r="B41" s="23" t="s">
        <v>966</v>
      </c>
      <c r="C41" s="23" t="s">
        <v>924</v>
      </c>
    </row>
    <row r="42" spans="1:3">
      <c r="A42" s="23" t="s">
        <v>967</v>
      </c>
      <c r="B42" s="23" t="s">
        <v>968</v>
      </c>
      <c r="C42" s="24" t="s">
        <v>969</v>
      </c>
    </row>
    <row r="43" spans="1:3">
      <c r="A43" s="23" t="s">
        <v>1027</v>
      </c>
      <c r="B43" s="24" t="s">
        <v>1028</v>
      </c>
      <c r="C43" s="23" t="s">
        <v>1029</v>
      </c>
    </row>
    <row r="44" spans="1:3">
      <c r="A44" s="23" t="s">
        <v>1018</v>
      </c>
      <c r="B44" s="24" t="s">
        <v>872</v>
      </c>
      <c r="C44" s="23">
        <v>3</v>
      </c>
    </row>
    <row r="45" spans="1:3">
      <c r="A45" s="23" t="s">
        <v>1009</v>
      </c>
      <c r="B45" s="24" t="s">
        <v>1010</v>
      </c>
      <c r="C45" s="23" t="s">
        <v>938</v>
      </c>
    </row>
    <row r="46" spans="1:3">
      <c r="A46" s="23" t="s">
        <v>970</v>
      </c>
      <c r="B46" s="23" t="s">
        <v>971</v>
      </c>
      <c r="C46" s="23" t="s">
        <v>972</v>
      </c>
    </row>
    <row r="47" spans="1:3">
      <c r="A47" s="23" t="s">
        <v>973</v>
      </c>
      <c r="B47" s="23" t="s">
        <v>974</v>
      </c>
      <c r="C47" s="23" t="s">
        <v>975</v>
      </c>
    </row>
    <row r="48" spans="1:3">
      <c r="A48" s="23" t="s">
        <v>976</v>
      </c>
      <c r="B48" s="23" t="s">
        <v>977</v>
      </c>
      <c r="C48" s="24" t="s">
        <v>938</v>
      </c>
    </row>
    <row r="49" spans="1:3">
      <c r="A49" s="23" t="s">
        <v>978</v>
      </c>
      <c r="B49" s="23" t="s">
        <v>979</v>
      </c>
      <c r="C49" s="23" t="s">
        <v>975</v>
      </c>
    </row>
    <row r="50" spans="1:3">
      <c r="A50" s="23" t="s">
        <v>1022</v>
      </c>
      <c r="B50" s="24" t="s">
        <v>875</v>
      </c>
      <c r="C50" s="23" t="s">
        <v>994</v>
      </c>
    </row>
    <row r="51" spans="1:3">
      <c r="A51" s="23" t="s">
        <v>980</v>
      </c>
      <c r="B51" s="23" t="s">
        <v>981</v>
      </c>
      <c r="C51" s="23" t="s">
        <v>969</v>
      </c>
    </row>
    <row r="52" spans="1:3">
      <c r="A52" s="23" t="s">
        <v>876</v>
      </c>
      <c r="B52" s="23" t="s">
        <v>982</v>
      </c>
      <c r="C52" s="23" t="s">
        <v>983</v>
      </c>
    </row>
    <row r="53" spans="1:3">
      <c r="A53" s="23" t="s">
        <v>1057</v>
      </c>
      <c r="B53" s="24" t="s">
        <v>913</v>
      </c>
      <c r="C53" s="23" t="s">
        <v>1058</v>
      </c>
    </row>
    <row r="54" spans="1:3">
      <c r="A54" s="23" t="s">
        <v>1030</v>
      </c>
      <c r="B54" s="24" t="s">
        <v>904</v>
      </c>
      <c r="C54" s="23" t="s">
        <v>1031</v>
      </c>
    </row>
    <row r="55" spans="1:3">
      <c r="A55" s="23" t="s">
        <v>1040</v>
      </c>
      <c r="B55" s="24" t="s">
        <v>1041</v>
      </c>
      <c r="C55" s="23" t="s">
        <v>1042</v>
      </c>
    </row>
    <row r="56" spans="1:3">
      <c r="A56" s="23" t="s">
        <v>984</v>
      </c>
      <c r="B56" s="23" t="s">
        <v>985</v>
      </c>
      <c r="C56" s="23" t="s">
        <v>986</v>
      </c>
    </row>
    <row r="57" spans="1:3">
      <c r="A57" s="23" t="s">
        <v>1043</v>
      </c>
      <c r="B57" s="24" t="s">
        <v>905</v>
      </c>
      <c r="C57" s="23" t="s">
        <v>1044</v>
      </c>
    </row>
    <row r="58" spans="1:3">
      <c r="A58" s="23" t="s">
        <v>1032</v>
      </c>
      <c r="B58" s="24" t="s">
        <v>906</v>
      </c>
      <c r="C58" s="23" t="s">
        <v>1033</v>
      </c>
    </row>
    <row r="59" spans="1:3">
      <c r="A59" s="23" t="s">
        <v>984</v>
      </c>
      <c r="B59" s="23" t="s">
        <v>987</v>
      </c>
      <c r="C59" s="23">
        <v>7</v>
      </c>
    </row>
    <row r="60" spans="1:3">
      <c r="A60" s="23" t="s">
        <v>1049</v>
      </c>
      <c r="B60" s="24" t="s">
        <v>878</v>
      </c>
      <c r="C60" s="23" t="s">
        <v>949</v>
      </c>
    </row>
    <row r="61" spans="1:3">
      <c r="A61" s="23" t="s">
        <v>907</v>
      </c>
      <c r="B61" s="23" t="s">
        <v>988</v>
      </c>
      <c r="C61" s="23" t="s">
        <v>989</v>
      </c>
    </row>
    <row r="62" spans="1:3">
      <c r="A62" s="23" t="s">
        <v>990</v>
      </c>
      <c r="B62" s="23" t="s">
        <v>991</v>
      </c>
      <c r="C62" s="23" t="s">
        <v>961</v>
      </c>
    </row>
    <row r="63" spans="1:3">
      <c r="A63" s="25"/>
      <c r="B63" s="24" t="s">
        <v>1045</v>
      </c>
      <c r="C63" s="23" t="s">
        <v>1046</v>
      </c>
    </row>
    <row r="64" spans="1:3">
      <c r="A64" s="23" t="s">
        <v>992</v>
      </c>
      <c r="B64" s="23" t="s">
        <v>993</v>
      </c>
      <c r="C64" s="24" t="s">
        <v>994</v>
      </c>
    </row>
    <row r="65" spans="1:3">
      <c r="A65" s="25"/>
      <c r="B65" s="24" t="s">
        <v>1053</v>
      </c>
      <c r="C65" s="23" t="s">
        <v>1054</v>
      </c>
    </row>
    <row r="66" spans="1:3">
      <c r="A66" s="23" t="s">
        <v>995</v>
      </c>
      <c r="B66" s="23" t="s">
        <v>996</v>
      </c>
      <c r="C66" s="23" t="s">
        <v>975</v>
      </c>
    </row>
    <row r="67" spans="1:3">
      <c r="A67" s="23" t="s">
        <v>1019</v>
      </c>
      <c r="B67" s="24" t="s">
        <v>880</v>
      </c>
      <c r="C67" s="23" t="s">
        <v>964</v>
      </c>
    </row>
    <row r="68" spans="1:3">
      <c r="A68" s="23" t="s">
        <v>997</v>
      </c>
      <c r="B68" s="23" t="s">
        <v>998</v>
      </c>
      <c r="C68" s="23" t="s">
        <v>999</v>
      </c>
    </row>
    <row r="69" spans="1:3">
      <c r="A69" s="23" t="s">
        <v>997</v>
      </c>
      <c r="B69" s="23" t="s">
        <v>1000</v>
      </c>
      <c r="C69" s="23" t="s">
        <v>999</v>
      </c>
    </row>
    <row r="70" spans="1:3">
      <c r="A70" s="23" t="s">
        <v>881</v>
      </c>
      <c r="B70" s="23" t="s">
        <v>909</v>
      </c>
      <c r="C70" s="23" t="s">
        <v>1001</v>
      </c>
    </row>
    <row r="71" spans="1:3">
      <c r="A71" s="23" t="s">
        <v>882</v>
      </c>
      <c r="B71" s="23" t="s">
        <v>882</v>
      </c>
      <c r="C71" s="23" t="s">
        <v>1002</v>
      </c>
    </row>
    <row r="72" spans="1:3">
      <c r="A72" s="25"/>
      <c r="B72" s="24" t="s">
        <v>910</v>
      </c>
      <c r="C72" s="23" t="s">
        <v>1017</v>
      </c>
    </row>
    <row r="73" spans="1:3">
      <c r="A73" s="24" t="s">
        <v>1003</v>
      </c>
      <c r="B73" s="24" t="s">
        <v>1004</v>
      </c>
      <c r="C73" s="24" t="s">
        <v>1005</v>
      </c>
    </row>
    <row r="74" spans="1:3">
      <c r="A74" s="23" t="s">
        <v>1006</v>
      </c>
      <c r="B74" s="23" t="s">
        <v>1007</v>
      </c>
      <c r="C74" s="23" t="s">
        <v>975</v>
      </c>
    </row>
    <row r="75" spans="1:3">
      <c r="A75" s="23" t="s">
        <v>1008</v>
      </c>
      <c r="B75" s="23" t="s">
        <v>884</v>
      </c>
      <c r="C75" s="23" t="s">
        <v>946</v>
      </c>
    </row>
    <row r="76" spans="1:3">
      <c r="A76" s="23" t="s">
        <v>1034</v>
      </c>
      <c r="B76" s="24" t="s">
        <v>911</v>
      </c>
      <c r="C76" s="23" t="s">
        <v>989</v>
      </c>
    </row>
  </sheetData>
  <autoFilter ref="A1:C1">
    <sortState ref="A2:C76">
      <sortCondition ref="B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4"/>
  <sheetViews>
    <sheetView showGridLines="0" workbookViewId="0">
      <selection activeCell="F16" sqref="F16"/>
    </sheetView>
  </sheetViews>
  <sheetFormatPr baseColWidth="10" defaultColWidth="72.5703125" defaultRowHeight="15"/>
  <cols>
    <col min="1" max="1" width="12.140625" style="1" bestFit="1" customWidth="1"/>
    <col min="2" max="2" width="40.85546875" style="1" bestFit="1" customWidth="1"/>
    <col min="3" max="3" width="13.5703125" style="1" customWidth="1"/>
    <col min="4" max="4" width="29.85546875" style="1" bestFit="1" customWidth="1"/>
    <col min="5" max="5" width="12.5703125" style="1" bestFit="1" customWidth="1"/>
    <col min="6" max="16384" width="72.5703125" style="1"/>
  </cols>
  <sheetData>
    <row r="1" spans="1:6">
      <c r="A1" s="5" t="s">
        <v>857</v>
      </c>
      <c r="B1" s="5" t="s">
        <v>858</v>
      </c>
      <c r="C1" s="5" t="s">
        <v>859</v>
      </c>
      <c r="D1" s="5" t="s">
        <v>915</v>
      </c>
      <c r="E1" s="5" t="s">
        <v>918</v>
      </c>
    </row>
    <row r="2" spans="1:6">
      <c r="A2" s="6" t="s">
        <v>749</v>
      </c>
      <c r="B2" s="7" t="s">
        <v>750</v>
      </c>
      <c r="C2" s="8">
        <v>45.5</v>
      </c>
      <c r="D2" s="9" t="s">
        <v>879</v>
      </c>
      <c r="E2" s="13">
        <v>22900</v>
      </c>
    </row>
    <row r="3" spans="1:6">
      <c r="A3" s="6" t="s">
        <v>751</v>
      </c>
      <c r="B3" s="7" t="s">
        <v>752</v>
      </c>
      <c r="C3" s="8">
        <v>48.6</v>
      </c>
      <c r="D3" s="9" t="s">
        <v>879</v>
      </c>
      <c r="E3" s="13">
        <v>22900</v>
      </c>
    </row>
    <row r="4" spans="1:6">
      <c r="A4" s="6" t="s">
        <v>753</v>
      </c>
      <c r="B4" s="7" t="s">
        <v>754</v>
      </c>
      <c r="C4" s="8">
        <v>95.649000000000001</v>
      </c>
      <c r="D4" s="9" t="s">
        <v>879</v>
      </c>
      <c r="E4" s="13">
        <v>21900</v>
      </c>
    </row>
    <row r="5" spans="1:6">
      <c r="A5" s="6" t="s">
        <v>755</v>
      </c>
      <c r="B5" s="7" t="s">
        <v>756</v>
      </c>
      <c r="C5" s="8">
        <v>49.6</v>
      </c>
      <c r="D5" s="9" t="s">
        <v>879</v>
      </c>
      <c r="E5" s="13">
        <v>22900</v>
      </c>
    </row>
    <row r="6" spans="1:6">
      <c r="A6" s="6" t="s">
        <v>757</v>
      </c>
      <c r="B6" s="7" t="s">
        <v>758</v>
      </c>
      <c r="C6" s="8">
        <v>49.6</v>
      </c>
      <c r="D6" s="9" t="s">
        <v>879</v>
      </c>
      <c r="E6" s="13">
        <v>22900</v>
      </c>
    </row>
    <row r="7" spans="1:6">
      <c r="A7" s="6" t="s">
        <v>759</v>
      </c>
      <c r="B7" s="7" t="s">
        <v>760</v>
      </c>
      <c r="C7" s="8">
        <v>48.3</v>
      </c>
      <c r="D7" s="9" t="s">
        <v>879</v>
      </c>
      <c r="E7" s="13">
        <v>22900</v>
      </c>
    </row>
    <row r="8" spans="1:6">
      <c r="A8" s="6" t="s">
        <v>761</v>
      </c>
      <c r="B8" s="7" t="s">
        <v>762</v>
      </c>
      <c r="C8" s="8">
        <v>94.382000000000005</v>
      </c>
      <c r="D8" s="9" t="s">
        <v>879</v>
      </c>
      <c r="E8" s="13">
        <v>22900</v>
      </c>
    </row>
    <row r="9" spans="1:6">
      <c r="A9" s="6" t="s">
        <v>763</v>
      </c>
      <c r="B9" s="7" t="s">
        <v>764</v>
      </c>
      <c r="C9" s="8">
        <v>43.475999999999999</v>
      </c>
      <c r="D9" s="9" t="s">
        <v>879</v>
      </c>
      <c r="E9" s="13">
        <v>22900</v>
      </c>
    </row>
    <row r="10" spans="1:6">
      <c r="A10" s="6" t="s">
        <v>765</v>
      </c>
      <c r="B10" s="7" t="s">
        <v>766</v>
      </c>
      <c r="C10" s="8">
        <v>23.498999999999999</v>
      </c>
      <c r="D10" s="9" t="s">
        <v>879</v>
      </c>
      <c r="E10" s="13">
        <v>22900</v>
      </c>
    </row>
    <row r="11" spans="1:6">
      <c r="A11" s="6" t="s">
        <v>767</v>
      </c>
      <c r="B11" s="7" t="s">
        <v>768</v>
      </c>
      <c r="C11" s="8">
        <v>20.802</v>
      </c>
      <c r="D11" s="9" t="s">
        <v>879</v>
      </c>
      <c r="E11" s="13">
        <v>22900</v>
      </c>
    </row>
    <row r="12" spans="1:6">
      <c r="A12" s="6" t="s">
        <v>771</v>
      </c>
      <c r="B12" s="7" t="s">
        <v>772</v>
      </c>
      <c r="C12" s="8">
        <v>48.1</v>
      </c>
      <c r="D12" s="9" t="s">
        <v>879</v>
      </c>
      <c r="E12" s="13">
        <v>22900</v>
      </c>
    </row>
    <row r="13" spans="1:6">
      <c r="A13" s="6" t="s">
        <v>773</v>
      </c>
      <c r="B13" s="7" t="s">
        <v>774</v>
      </c>
      <c r="C13" s="8">
        <v>43.893999999999998</v>
      </c>
      <c r="D13" s="9" t="s">
        <v>879</v>
      </c>
      <c r="E13" s="13">
        <v>22900</v>
      </c>
    </row>
    <row r="14" spans="1:6">
      <c r="A14" s="6" t="s">
        <v>769</v>
      </c>
      <c r="B14" s="7" t="s">
        <v>770</v>
      </c>
      <c r="C14" s="8">
        <v>1672.6489999999999</v>
      </c>
      <c r="D14" s="9" t="s">
        <v>1069</v>
      </c>
      <c r="E14" s="13">
        <v>33500</v>
      </c>
    </row>
    <row r="15" spans="1:6">
      <c r="A15" s="6" t="s">
        <v>39</v>
      </c>
      <c r="B15" s="7" t="s">
        <v>40</v>
      </c>
      <c r="C15" s="8">
        <v>39.118000000000002</v>
      </c>
      <c r="D15" s="9" t="s">
        <v>914</v>
      </c>
      <c r="E15" s="13">
        <v>35700</v>
      </c>
      <c r="F15" s="15"/>
    </row>
    <row r="16" spans="1:6">
      <c r="A16" s="6" t="s">
        <v>29</v>
      </c>
      <c r="B16" s="7" t="s">
        <v>30</v>
      </c>
      <c r="C16" s="8">
        <v>134.36500000000001</v>
      </c>
      <c r="D16" s="9" t="s">
        <v>914</v>
      </c>
      <c r="E16" s="13">
        <v>35700</v>
      </c>
      <c r="F16" s="15"/>
    </row>
    <row r="17" spans="1:6">
      <c r="A17" s="6" t="s">
        <v>81</v>
      </c>
      <c r="B17" s="7" t="s">
        <v>82</v>
      </c>
      <c r="C17" s="8">
        <v>104.5</v>
      </c>
      <c r="D17" s="9" t="s">
        <v>914</v>
      </c>
      <c r="E17" s="13">
        <v>35700</v>
      </c>
      <c r="F17" s="15"/>
    </row>
    <row r="18" spans="1:6">
      <c r="A18" s="6" t="s">
        <v>55</v>
      </c>
      <c r="B18" s="7" t="s">
        <v>56</v>
      </c>
      <c r="C18" s="8">
        <v>44</v>
      </c>
      <c r="D18" s="9" t="s">
        <v>914</v>
      </c>
      <c r="E18" s="13">
        <v>35700</v>
      </c>
      <c r="F18" s="15"/>
    </row>
    <row r="19" spans="1:6">
      <c r="A19" s="6" t="s">
        <v>19</v>
      </c>
      <c r="B19" s="7" t="s">
        <v>20</v>
      </c>
      <c r="C19" s="8">
        <v>611.50800000000004</v>
      </c>
      <c r="D19" s="9" t="s">
        <v>914</v>
      </c>
      <c r="E19" s="13">
        <v>35700</v>
      </c>
      <c r="F19" s="15"/>
    </row>
    <row r="20" spans="1:6">
      <c r="A20" s="6" t="s">
        <v>63</v>
      </c>
      <c r="B20" s="7" t="s">
        <v>64</v>
      </c>
      <c r="C20" s="8">
        <v>52.762999999999998</v>
      </c>
      <c r="D20" s="9" t="s">
        <v>914</v>
      </c>
      <c r="E20" s="13">
        <v>35700</v>
      </c>
      <c r="F20" s="15"/>
    </row>
    <row r="21" spans="1:6">
      <c r="A21" s="6" t="s">
        <v>47</v>
      </c>
      <c r="B21" s="7" t="s">
        <v>48</v>
      </c>
      <c r="C21" s="8">
        <v>75.8</v>
      </c>
      <c r="D21" s="9" t="s">
        <v>914</v>
      </c>
      <c r="E21" s="13">
        <v>35700</v>
      </c>
      <c r="F21" s="15"/>
    </row>
    <row r="22" spans="1:6">
      <c r="A22" s="6" t="s">
        <v>93</v>
      </c>
      <c r="B22" s="7" t="s">
        <v>94</v>
      </c>
      <c r="C22" s="8">
        <v>63.902999999999999</v>
      </c>
      <c r="D22" s="9" t="s">
        <v>914</v>
      </c>
      <c r="E22" s="13">
        <v>35700</v>
      </c>
      <c r="F22" s="15"/>
    </row>
    <row r="23" spans="1:6">
      <c r="A23" s="6" t="s">
        <v>69</v>
      </c>
      <c r="B23" s="7" t="s">
        <v>70</v>
      </c>
      <c r="C23" s="8">
        <v>60.8</v>
      </c>
      <c r="D23" s="9" t="s">
        <v>914</v>
      </c>
      <c r="E23" s="13">
        <v>35700</v>
      </c>
      <c r="F23" s="15"/>
    </row>
    <row r="24" spans="1:6">
      <c r="A24" s="6" t="s">
        <v>61</v>
      </c>
      <c r="B24" s="7" t="s">
        <v>62</v>
      </c>
      <c r="C24" s="8">
        <v>570.97299999999996</v>
      </c>
      <c r="D24" s="9" t="s">
        <v>914</v>
      </c>
      <c r="E24" s="13">
        <v>35700</v>
      </c>
      <c r="F24" s="15"/>
    </row>
    <row r="25" spans="1:6">
      <c r="A25" s="6" t="s">
        <v>27</v>
      </c>
      <c r="B25" s="7" t="s">
        <v>28</v>
      </c>
      <c r="C25" s="8">
        <v>316.15699999999998</v>
      </c>
      <c r="D25" s="9" t="s">
        <v>914</v>
      </c>
      <c r="E25" s="13">
        <v>34000</v>
      </c>
      <c r="F25" s="15"/>
    </row>
    <row r="26" spans="1:6">
      <c r="A26" s="6" t="s">
        <v>99</v>
      </c>
      <c r="B26" s="7" t="s">
        <v>100</v>
      </c>
      <c r="C26" s="8">
        <v>67.724999999999994</v>
      </c>
      <c r="D26" s="9" t="s">
        <v>914</v>
      </c>
      <c r="E26" s="13">
        <v>35700</v>
      </c>
      <c r="F26" s="15"/>
    </row>
    <row r="27" spans="1:6">
      <c r="A27" s="6" t="s">
        <v>59</v>
      </c>
      <c r="B27" s="7" t="s">
        <v>60</v>
      </c>
      <c r="C27" s="8">
        <v>43.9</v>
      </c>
      <c r="D27" s="9" t="s">
        <v>914</v>
      </c>
      <c r="E27" s="13">
        <v>35700</v>
      </c>
      <c r="F27" s="15"/>
    </row>
    <row r="28" spans="1:6">
      <c r="A28" s="6" t="s">
        <v>43</v>
      </c>
      <c r="B28" s="7" t="s">
        <v>44</v>
      </c>
      <c r="C28" s="8">
        <v>44.610999999999997</v>
      </c>
      <c r="D28" s="9" t="s">
        <v>914</v>
      </c>
      <c r="E28" s="13">
        <v>35700</v>
      </c>
      <c r="F28" s="15"/>
    </row>
    <row r="29" spans="1:6">
      <c r="A29" s="6" t="s">
        <v>83</v>
      </c>
      <c r="B29" s="7" t="s">
        <v>84</v>
      </c>
      <c r="C29" s="8">
        <v>64.135999999999996</v>
      </c>
      <c r="D29" s="9" t="s">
        <v>914</v>
      </c>
      <c r="E29" s="13">
        <v>35700</v>
      </c>
      <c r="F29" s="15"/>
    </row>
    <row r="30" spans="1:6">
      <c r="A30" s="6" t="s">
        <v>73</v>
      </c>
      <c r="B30" s="7" t="s">
        <v>74</v>
      </c>
      <c r="C30" s="8">
        <v>0</v>
      </c>
      <c r="D30" s="9" t="s">
        <v>914</v>
      </c>
      <c r="E30" s="13">
        <v>35700</v>
      </c>
      <c r="F30" s="15"/>
    </row>
    <row r="31" spans="1:6">
      <c r="A31" s="6" t="s">
        <v>53</v>
      </c>
      <c r="B31" s="7" t="s">
        <v>54</v>
      </c>
      <c r="C31" s="8">
        <v>65.22</v>
      </c>
      <c r="D31" s="9" t="s">
        <v>914</v>
      </c>
      <c r="E31" s="13">
        <v>35700</v>
      </c>
      <c r="F31" s="15"/>
    </row>
    <row r="32" spans="1:6">
      <c r="A32" s="6" t="s">
        <v>2</v>
      </c>
      <c r="B32" s="7" t="s">
        <v>3</v>
      </c>
      <c r="C32" s="8">
        <v>65.320999999999998</v>
      </c>
      <c r="D32" s="9" t="s">
        <v>914</v>
      </c>
      <c r="E32" s="13">
        <v>35700</v>
      </c>
      <c r="F32" s="15"/>
    </row>
    <row r="33" spans="1:6">
      <c r="A33" s="6" t="s">
        <v>79</v>
      </c>
      <c r="B33" s="7" t="s">
        <v>80</v>
      </c>
      <c r="C33" s="8">
        <v>0</v>
      </c>
      <c r="D33" s="9" t="s">
        <v>914</v>
      </c>
      <c r="E33" s="13">
        <v>35700</v>
      </c>
      <c r="F33" s="15"/>
    </row>
    <row r="34" spans="1:6">
      <c r="A34" s="6" t="s">
        <v>21</v>
      </c>
      <c r="B34" s="7" t="s">
        <v>22</v>
      </c>
      <c r="C34" s="8">
        <v>45.5</v>
      </c>
      <c r="D34" s="9" t="s">
        <v>914</v>
      </c>
      <c r="E34" s="13">
        <v>35700</v>
      </c>
      <c r="F34" s="15"/>
    </row>
    <row r="35" spans="1:6">
      <c r="A35" s="6" t="s">
        <v>85</v>
      </c>
      <c r="B35" s="7" t="s">
        <v>86</v>
      </c>
      <c r="C35" s="8">
        <v>66.900000000000006</v>
      </c>
      <c r="D35" s="9" t="s">
        <v>914</v>
      </c>
      <c r="E35" s="13">
        <v>35700</v>
      </c>
      <c r="F35" s="15"/>
    </row>
    <row r="36" spans="1:6">
      <c r="A36" s="6" t="s">
        <v>14</v>
      </c>
      <c r="B36" s="7" t="s">
        <v>15</v>
      </c>
      <c r="C36" s="8">
        <v>0</v>
      </c>
      <c r="D36" s="9" t="s">
        <v>914</v>
      </c>
      <c r="E36" s="13">
        <v>35700</v>
      </c>
      <c r="F36" s="15"/>
    </row>
    <row r="37" spans="1:6">
      <c r="A37" s="6" t="s">
        <v>95</v>
      </c>
      <c r="B37" s="7" t="s">
        <v>96</v>
      </c>
      <c r="C37" s="8">
        <v>0</v>
      </c>
      <c r="D37" s="9" t="s">
        <v>914</v>
      </c>
      <c r="E37" s="13">
        <v>35700</v>
      </c>
      <c r="F37" s="15"/>
    </row>
    <row r="38" spans="1:6">
      <c r="A38" s="6" t="s">
        <v>97</v>
      </c>
      <c r="B38" s="7" t="s">
        <v>98</v>
      </c>
      <c r="C38" s="8">
        <v>0</v>
      </c>
      <c r="D38" s="9" t="s">
        <v>914</v>
      </c>
      <c r="E38" s="13">
        <v>35700</v>
      </c>
      <c r="F38" s="15"/>
    </row>
    <row r="39" spans="1:6">
      <c r="A39" s="6" t="s">
        <v>8</v>
      </c>
      <c r="B39" s="7" t="s">
        <v>9</v>
      </c>
      <c r="C39" s="8">
        <v>67.63</v>
      </c>
      <c r="D39" s="9" t="s">
        <v>914</v>
      </c>
      <c r="E39" s="13">
        <v>35700</v>
      </c>
      <c r="F39" s="15"/>
    </row>
    <row r="40" spans="1:6">
      <c r="A40" s="6" t="s">
        <v>45</v>
      </c>
      <c r="B40" s="7" t="s">
        <v>46</v>
      </c>
      <c r="C40" s="8">
        <v>49.9</v>
      </c>
      <c r="D40" s="9" t="s">
        <v>914</v>
      </c>
      <c r="E40" s="13">
        <v>35700</v>
      </c>
      <c r="F40" s="15"/>
    </row>
    <row r="41" spans="1:6">
      <c r="A41" s="6" t="s">
        <v>33</v>
      </c>
      <c r="B41" s="7" t="s">
        <v>34</v>
      </c>
      <c r="C41" s="8">
        <v>0</v>
      </c>
      <c r="D41" s="9" t="s">
        <v>914</v>
      </c>
      <c r="E41" s="13">
        <v>35700</v>
      </c>
      <c r="F41" s="15"/>
    </row>
    <row r="42" spans="1:6">
      <c r="A42" s="6" t="s">
        <v>25</v>
      </c>
      <c r="B42" s="7" t="s">
        <v>26</v>
      </c>
      <c r="C42" s="8">
        <v>0</v>
      </c>
      <c r="D42" s="9" t="s">
        <v>914</v>
      </c>
      <c r="E42" s="13">
        <v>35700</v>
      </c>
      <c r="F42" s="15"/>
    </row>
    <row r="43" spans="1:6">
      <c r="A43" s="6" t="s">
        <v>17</v>
      </c>
      <c r="B43" s="7" t="s">
        <v>18</v>
      </c>
      <c r="C43" s="8">
        <v>65.671000000000006</v>
      </c>
      <c r="D43" s="9" t="s">
        <v>914</v>
      </c>
      <c r="E43" s="13">
        <v>35700</v>
      </c>
      <c r="F43" s="15"/>
    </row>
    <row r="44" spans="1:6">
      <c r="A44" s="6" t="s">
        <v>31</v>
      </c>
      <c r="B44" s="7" t="s">
        <v>32</v>
      </c>
      <c r="C44" s="8">
        <v>0</v>
      </c>
      <c r="D44" s="9" t="s">
        <v>914</v>
      </c>
      <c r="E44" s="13">
        <v>35700</v>
      </c>
      <c r="F44" s="15"/>
    </row>
    <row r="45" spans="1:6">
      <c r="A45" s="6" t="s">
        <v>57</v>
      </c>
      <c r="B45" s="7" t="s">
        <v>58</v>
      </c>
      <c r="C45" s="8">
        <v>0</v>
      </c>
      <c r="D45" s="9" t="s">
        <v>914</v>
      </c>
      <c r="E45" s="13">
        <v>35700</v>
      </c>
      <c r="F45" s="15"/>
    </row>
    <row r="46" spans="1:6">
      <c r="A46" s="6" t="s">
        <v>89</v>
      </c>
      <c r="B46" s="7" t="s">
        <v>90</v>
      </c>
      <c r="C46" s="8">
        <v>0</v>
      </c>
      <c r="D46" s="9" t="s">
        <v>914</v>
      </c>
      <c r="E46" s="13">
        <v>35700</v>
      </c>
      <c r="F46" s="15"/>
    </row>
    <row r="47" spans="1:6">
      <c r="A47" s="6" t="s">
        <v>51</v>
      </c>
      <c r="B47" s="7" t="s">
        <v>52</v>
      </c>
      <c r="C47" s="8">
        <v>0</v>
      </c>
      <c r="D47" s="9" t="s">
        <v>914</v>
      </c>
      <c r="E47" s="13">
        <v>35700</v>
      </c>
      <c r="F47" s="15"/>
    </row>
    <row r="48" spans="1:6">
      <c r="A48" s="6" t="s">
        <v>87</v>
      </c>
      <c r="B48" s="7" t="s">
        <v>88</v>
      </c>
      <c r="C48" s="8">
        <v>90.2</v>
      </c>
      <c r="D48" s="9" t="s">
        <v>914</v>
      </c>
      <c r="E48" s="13">
        <v>35700</v>
      </c>
      <c r="F48" s="15"/>
    </row>
    <row r="49" spans="1:6">
      <c r="A49" s="6" t="s">
        <v>91</v>
      </c>
      <c r="B49" s="7" t="s">
        <v>92</v>
      </c>
      <c r="C49" s="8">
        <v>0</v>
      </c>
      <c r="D49" s="9" t="s">
        <v>914</v>
      </c>
      <c r="E49" s="13">
        <v>35700</v>
      </c>
      <c r="F49" s="15"/>
    </row>
    <row r="50" spans="1:6">
      <c r="A50" s="6" t="s">
        <v>65</v>
      </c>
      <c r="B50" s="7" t="s">
        <v>66</v>
      </c>
      <c r="C50" s="8">
        <v>33.64</v>
      </c>
      <c r="D50" s="9" t="s">
        <v>914</v>
      </c>
      <c r="E50" s="13">
        <v>35700</v>
      </c>
      <c r="F50" s="15"/>
    </row>
    <row r="51" spans="1:6">
      <c r="A51" s="6" t="s">
        <v>4</v>
      </c>
      <c r="B51" s="7" t="s">
        <v>5</v>
      </c>
      <c r="C51" s="8">
        <v>0</v>
      </c>
      <c r="D51" s="9" t="s">
        <v>914</v>
      </c>
      <c r="E51" s="13">
        <v>35700</v>
      </c>
      <c r="F51" s="15"/>
    </row>
    <row r="52" spans="1:6">
      <c r="A52" s="6" t="s">
        <v>67</v>
      </c>
      <c r="B52" s="7" t="s">
        <v>68</v>
      </c>
      <c r="C52" s="8">
        <v>0.29799999999999999</v>
      </c>
      <c r="D52" s="9" t="s">
        <v>914</v>
      </c>
      <c r="E52" s="13">
        <v>35700</v>
      </c>
      <c r="F52" s="15"/>
    </row>
    <row r="53" spans="1:6">
      <c r="A53" s="6" t="s">
        <v>10</v>
      </c>
      <c r="B53" s="7" t="s">
        <v>11</v>
      </c>
      <c r="C53" s="8">
        <v>89.6</v>
      </c>
      <c r="D53" s="9" t="s">
        <v>914</v>
      </c>
      <c r="E53" s="13">
        <v>35700</v>
      </c>
      <c r="F53" s="15"/>
    </row>
    <row r="54" spans="1:6">
      <c r="A54" s="6" t="s">
        <v>35</v>
      </c>
      <c r="B54" s="7" t="s">
        <v>36</v>
      </c>
      <c r="C54" s="8">
        <v>87.887</v>
      </c>
      <c r="D54" s="9" t="s">
        <v>914</v>
      </c>
      <c r="E54" s="13">
        <v>35700</v>
      </c>
      <c r="F54" s="15"/>
    </row>
    <row r="55" spans="1:6">
      <c r="A55" s="6" t="s">
        <v>37</v>
      </c>
      <c r="B55" s="7" t="s">
        <v>38</v>
      </c>
      <c r="C55" s="8">
        <v>86.459000000000003</v>
      </c>
      <c r="D55" s="9" t="s">
        <v>914</v>
      </c>
      <c r="E55" s="13">
        <v>35700</v>
      </c>
      <c r="F55" s="15"/>
    </row>
    <row r="56" spans="1:6">
      <c r="A56" s="6" t="s">
        <v>41</v>
      </c>
      <c r="B56" s="7" t="s">
        <v>42</v>
      </c>
      <c r="C56" s="8">
        <v>83.006</v>
      </c>
      <c r="D56" s="9" t="s">
        <v>914</v>
      </c>
      <c r="E56" s="13">
        <v>35700</v>
      </c>
      <c r="F56" s="15"/>
    </row>
    <row r="57" spans="1:6">
      <c r="A57" s="6" t="s">
        <v>107</v>
      </c>
      <c r="B57" s="7" t="s">
        <v>108</v>
      </c>
      <c r="C57" s="8">
        <v>0</v>
      </c>
      <c r="D57" s="9" t="s">
        <v>860</v>
      </c>
      <c r="E57" s="13">
        <v>26400</v>
      </c>
    </row>
    <row r="58" spans="1:6">
      <c r="A58" s="6" t="s">
        <v>105</v>
      </c>
      <c r="B58" s="7" t="s">
        <v>106</v>
      </c>
      <c r="C58" s="8">
        <v>46</v>
      </c>
      <c r="D58" s="9" t="s">
        <v>860</v>
      </c>
      <c r="E58" s="13">
        <v>26400</v>
      </c>
    </row>
    <row r="59" spans="1:6">
      <c r="A59" s="6" t="s">
        <v>117</v>
      </c>
      <c r="B59" s="7" t="s">
        <v>118</v>
      </c>
      <c r="C59" s="8">
        <v>20.122</v>
      </c>
      <c r="D59" s="9" t="s">
        <v>860</v>
      </c>
      <c r="E59" s="13">
        <v>26400</v>
      </c>
    </row>
    <row r="60" spans="1:6">
      <c r="A60" s="6" t="s">
        <v>103</v>
      </c>
      <c r="B60" s="7" t="s">
        <v>104</v>
      </c>
      <c r="C60" s="8">
        <v>23.2</v>
      </c>
      <c r="D60" s="9" t="s">
        <v>860</v>
      </c>
      <c r="E60" s="13">
        <v>21400</v>
      </c>
    </row>
    <row r="61" spans="1:6">
      <c r="A61" s="6" t="s">
        <v>113</v>
      </c>
      <c r="B61" s="7" t="s">
        <v>114</v>
      </c>
      <c r="C61" s="8">
        <v>23</v>
      </c>
      <c r="D61" s="9" t="s">
        <v>860</v>
      </c>
      <c r="E61" s="13">
        <v>21400</v>
      </c>
    </row>
    <row r="62" spans="1:6">
      <c r="A62" s="6" t="s">
        <v>101</v>
      </c>
      <c r="B62" s="7" t="s">
        <v>102</v>
      </c>
      <c r="C62" s="8">
        <v>23</v>
      </c>
      <c r="D62" s="9" t="s">
        <v>860</v>
      </c>
      <c r="E62" s="13">
        <v>21400</v>
      </c>
    </row>
    <row r="63" spans="1:6">
      <c r="A63" s="6" t="s">
        <v>119</v>
      </c>
      <c r="B63" s="7" t="s">
        <v>120</v>
      </c>
      <c r="C63" s="8">
        <v>0</v>
      </c>
      <c r="D63" s="9" t="s">
        <v>860</v>
      </c>
      <c r="E63" s="13">
        <v>21400</v>
      </c>
    </row>
    <row r="64" spans="1:6">
      <c r="A64" s="6" t="s">
        <v>115</v>
      </c>
      <c r="B64" s="7" t="s">
        <v>116</v>
      </c>
      <c r="C64" s="8">
        <v>23.8</v>
      </c>
      <c r="D64" s="9" t="s">
        <v>860</v>
      </c>
      <c r="E64" s="13">
        <v>21400</v>
      </c>
    </row>
    <row r="65" spans="1:5">
      <c r="A65" s="6" t="s">
        <v>111</v>
      </c>
      <c r="B65" s="7" t="s">
        <v>112</v>
      </c>
      <c r="C65" s="8">
        <v>0</v>
      </c>
      <c r="D65" s="9" t="s">
        <v>860</v>
      </c>
      <c r="E65" s="13">
        <v>21400</v>
      </c>
    </row>
    <row r="66" spans="1:5">
      <c r="A66" s="6" t="s">
        <v>109</v>
      </c>
      <c r="B66" s="7" t="s">
        <v>110</v>
      </c>
      <c r="C66" s="8">
        <v>0</v>
      </c>
      <c r="D66" s="9" t="s">
        <v>860</v>
      </c>
      <c r="E66" s="13">
        <v>21400</v>
      </c>
    </row>
    <row r="67" spans="1:5">
      <c r="A67" s="6" t="s">
        <v>125</v>
      </c>
      <c r="B67" s="7" t="s">
        <v>126</v>
      </c>
      <c r="C67" s="8">
        <v>0</v>
      </c>
      <c r="D67" s="9" t="s">
        <v>861</v>
      </c>
      <c r="E67" s="13">
        <v>42000</v>
      </c>
    </row>
    <row r="68" spans="1:5">
      <c r="A68" s="6" t="s">
        <v>121</v>
      </c>
      <c r="B68" s="7" t="s">
        <v>122</v>
      </c>
      <c r="C68" s="8">
        <v>0</v>
      </c>
      <c r="D68" s="9" t="s">
        <v>861</v>
      </c>
      <c r="E68" s="13">
        <v>27300</v>
      </c>
    </row>
    <row r="69" spans="1:5">
      <c r="A69" s="6" t="s">
        <v>133</v>
      </c>
      <c r="B69" s="7" t="s">
        <v>134</v>
      </c>
      <c r="C69" s="8">
        <v>0</v>
      </c>
      <c r="D69" s="9" t="s">
        <v>861</v>
      </c>
      <c r="E69" s="13">
        <v>27300</v>
      </c>
    </row>
    <row r="70" spans="1:5">
      <c r="A70" s="6" t="s">
        <v>123</v>
      </c>
      <c r="B70" s="7" t="s">
        <v>124</v>
      </c>
      <c r="C70" s="8">
        <v>0</v>
      </c>
      <c r="D70" s="9" t="s">
        <v>861</v>
      </c>
      <c r="E70" s="13">
        <v>27300</v>
      </c>
    </row>
    <row r="71" spans="1:5">
      <c r="A71" s="6" t="s">
        <v>127</v>
      </c>
      <c r="B71" s="7" t="s">
        <v>128</v>
      </c>
      <c r="C71" s="8">
        <v>0</v>
      </c>
      <c r="D71" s="9" t="s">
        <v>861</v>
      </c>
      <c r="E71" s="13">
        <v>27300</v>
      </c>
    </row>
    <row r="72" spans="1:5">
      <c r="A72" s="6" t="s">
        <v>157</v>
      </c>
      <c r="B72" s="7" t="s">
        <v>158</v>
      </c>
      <c r="C72" s="8">
        <v>45.8</v>
      </c>
      <c r="D72" s="9" t="s">
        <v>864</v>
      </c>
      <c r="E72" s="13">
        <v>32400</v>
      </c>
    </row>
    <row r="73" spans="1:5">
      <c r="A73" s="6" t="s">
        <v>155</v>
      </c>
      <c r="B73" s="7" t="s">
        <v>156</v>
      </c>
      <c r="C73" s="8">
        <v>44.8</v>
      </c>
      <c r="D73" s="9" t="s">
        <v>864</v>
      </c>
      <c r="E73" s="13">
        <v>32400</v>
      </c>
    </row>
    <row r="74" spans="1:5">
      <c r="A74" s="6" t="s">
        <v>163</v>
      </c>
      <c r="B74" s="7" t="s">
        <v>164</v>
      </c>
      <c r="C74" s="8">
        <v>0</v>
      </c>
      <c r="D74" s="9" t="s">
        <v>864</v>
      </c>
      <c r="E74" s="13">
        <v>32400</v>
      </c>
    </row>
    <row r="75" spans="1:5">
      <c r="A75" s="6" t="s">
        <v>165</v>
      </c>
      <c r="B75" s="7" t="s">
        <v>166</v>
      </c>
      <c r="C75" s="8">
        <v>0</v>
      </c>
      <c r="D75" s="9" t="s">
        <v>864</v>
      </c>
      <c r="E75" s="13">
        <v>32400</v>
      </c>
    </row>
    <row r="76" spans="1:5">
      <c r="A76" s="6" t="s">
        <v>167</v>
      </c>
      <c r="B76" s="7" t="s">
        <v>168</v>
      </c>
      <c r="C76" s="8">
        <v>13.5</v>
      </c>
      <c r="D76" s="9" t="s">
        <v>864</v>
      </c>
      <c r="E76" s="13">
        <v>32400</v>
      </c>
    </row>
    <row r="77" spans="1:5">
      <c r="A77" s="6" t="s">
        <v>161</v>
      </c>
      <c r="B77" s="7" t="s">
        <v>162</v>
      </c>
      <c r="C77" s="8">
        <v>0</v>
      </c>
      <c r="D77" s="9" t="s">
        <v>864</v>
      </c>
      <c r="E77" s="13">
        <v>32400</v>
      </c>
    </row>
    <row r="78" spans="1:5">
      <c r="A78" s="6" t="s">
        <v>159</v>
      </c>
      <c r="B78" s="7" t="s">
        <v>160</v>
      </c>
      <c r="C78" s="8">
        <v>0</v>
      </c>
      <c r="D78" s="9" t="s">
        <v>864</v>
      </c>
      <c r="E78" s="13">
        <v>32400</v>
      </c>
    </row>
    <row r="79" spans="1:5">
      <c r="A79" s="6" t="s">
        <v>197</v>
      </c>
      <c r="B79" s="7" t="s">
        <v>198</v>
      </c>
      <c r="C79" s="8">
        <v>48.5</v>
      </c>
      <c r="D79" s="9" t="s">
        <v>865</v>
      </c>
      <c r="E79" s="13">
        <v>28500</v>
      </c>
    </row>
    <row r="80" spans="1:5">
      <c r="A80" s="6" t="s">
        <v>191</v>
      </c>
      <c r="B80" s="7" t="s">
        <v>192</v>
      </c>
      <c r="C80" s="8">
        <v>46.6</v>
      </c>
      <c r="D80" s="9" t="s">
        <v>865</v>
      </c>
      <c r="E80" s="13">
        <v>38000</v>
      </c>
    </row>
    <row r="81" spans="1:5">
      <c r="A81" s="6" t="s">
        <v>189</v>
      </c>
      <c r="B81" s="7" t="s">
        <v>190</v>
      </c>
      <c r="C81" s="8">
        <v>48.14</v>
      </c>
      <c r="D81" s="9" t="s">
        <v>865</v>
      </c>
      <c r="E81" s="13">
        <v>28500</v>
      </c>
    </row>
    <row r="82" spans="1:5">
      <c r="A82" s="6" t="s">
        <v>203</v>
      </c>
      <c r="B82" s="7" t="s">
        <v>204</v>
      </c>
      <c r="C82" s="8">
        <v>43.941000000000003</v>
      </c>
      <c r="D82" s="9" t="s">
        <v>865</v>
      </c>
      <c r="E82" s="13">
        <v>38000</v>
      </c>
    </row>
    <row r="83" spans="1:5">
      <c r="A83" s="6" t="s">
        <v>185</v>
      </c>
      <c r="B83" s="7" t="s">
        <v>186</v>
      </c>
      <c r="C83" s="8">
        <v>42.2</v>
      </c>
      <c r="D83" s="9" t="s">
        <v>865</v>
      </c>
      <c r="E83" s="13">
        <v>28500</v>
      </c>
    </row>
    <row r="84" spans="1:5">
      <c r="A84" s="6" t="s">
        <v>169</v>
      </c>
      <c r="B84" s="7" t="s">
        <v>170</v>
      </c>
      <c r="C84" s="8">
        <v>36.200000000000003</v>
      </c>
      <c r="D84" s="9" t="s">
        <v>865</v>
      </c>
      <c r="E84" s="13">
        <v>28500</v>
      </c>
    </row>
    <row r="85" spans="1:5">
      <c r="A85" s="6" t="s">
        <v>177</v>
      </c>
      <c r="B85" s="7" t="s">
        <v>178</v>
      </c>
      <c r="C85" s="8">
        <v>37.911999999999999</v>
      </c>
      <c r="D85" s="9" t="s">
        <v>865</v>
      </c>
      <c r="E85" s="13">
        <v>28500</v>
      </c>
    </row>
    <row r="86" spans="1:5">
      <c r="A86" s="6" t="s">
        <v>173</v>
      </c>
      <c r="B86" s="7" t="s">
        <v>174</v>
      </c>
      <c r="C86" s="8">
        <v>27.5</v>
      </c>
      <c r="D86" s="9" t="s">
        <v>865</v>
      </c>
      <c r="E86" s="13">
        <v>28500</v>
      </c>
    </row>
    <row r="87" spans="1:5">
      <c r="A87" s="6" t="s">
        <v>201</v>
      </c>
      <c r="B87" s="7" t="s">
        <v>202</v>
      </c>
      <c r="C87" s="8">
        <v>44</v>
      </c>
      <c r="D87" s="9" t="s">
        <v>865</v>
      </c>
      <c r="E87" s="13">
        <v>28500</v>
      </c>
    </row>
    <row r="88" spans="1:5">
      <c r="A88" s="6" t="s">
        <v>199</v>
      </c>
      <c r="B88" s="7" t="s">
        <v>200</v>
      </c>
      <c r="C88" s="8">
        <v>36.4</v>
      </c>
      <c r="D88" s="9" t="s">
        <v>865</v>
      </c>
      <c r="E88" s="13">
        <v>28500</v>
      </c>
    </row>
    <row r="89" spans="1:5">
      <c r="A89" s="6" t="s">
        <v>187</v>
      </c>
      <c r="B89" s="7" t="s">
        <v>188</v>
      </c>
      <c r="C89" s="8">
        <v>48.9</v>
      </c>
      <c r="D89" s="9" t="s">
        <v>865</v>
      </c>
      <c r="E89" s="13">
        <v>28500</v>
      </c>
    </row>
    <row r="90" spans="1:5">
      <c r="A90" s="6" t="s">
        <v>183</v>
      </c>
      <c r="B90" s="7" t="s">
        <v>184</v>
      </c>
      <c r="C90" s="8">
        <v>0</v>
      </c>
      <c r="D90" s="9" t="s">
        <v>865</v>
      </c>
      <c r="E90" s="13">
        <v>28500</v>
      </c>
    </row>
    <row r="91" spans="1:5">
      <c r="A91" s="6" t="s">
        <v>195</v>
      </c>
      <c r="B91" s="7" t="s">
        <v>196</v>
      </c>
      <c r="C91" s="8">
        <v>21.9</v>
      </c>
      <c r="D91" s="9" t="s">
        <v>865</v>
      </c>
      <c r="E91" s="13">
        <v>28500</v>
      </c>
    </row>
    <row r="92" spans="1:5">
      <c r="A92" s="6" t="s">
        <v>179</v>
      </c>
      <c r="B92" s="7" t="s">
        <v>180</v>
      </c>
      <c r="C92" s="8">
        <v>0</v>
      </c>
      <c r="D92" s="9" t="s">
        <v>865</v>
      </c>
      <c r="E92" s="13">
        <v>28500</v>
      </c>
    </row>
    <row r="93" spans="1:5">
      <c r="A93" s="6" t="s">
        <v>193</v>
      </c>
      <c r="B93" s="7" t="s">
        <v>194</v>
      </c>
      <c r="C93" s="8">
        <v>0</v>
      </c>
      <c r="D93" s="9" t="s">
        <v>865</v>
      </c>
      <c r="E93" s="13">
        <v>38000</v>
      </c>
    </row>
    <row r="94" spans="1:5">
      <c r="A94" s="6" t="s">
        <v>171</v>
      </c>
      <c r="B94" s="7" t="s">
        <v>172</v>
      </c>
      <c r="C94" s="8">
        <v>12.6</v>
      </c>
      <c r="D94" s="9" t="s">
        <v>865</v>
      </c>
      <c r="E94" s="13">
        <v>28500</v>
      </c>
    </row>
    <row r="95" spans="1:5">
      <c r="A95" s="6" t="s">
        <v>175</v>
      </c>
      <c r="B95" s="7" t="s">
        <v>176</v>
      </c>
      <c r="C95" s="8">
        <v>0</v>
      </c>
      <c r="D95" s="9" t="s">
        <v>865</v>
      </c>
      <c r="E95" s="13">
        <v>28500</v>
      </c>
    </row>
    <row r="96" spans="1:5">
      <c r="A96" s="6" t="s">
        <v>181</v>
      </c>
      <c r="B96" s="7" t="s">
        <v>182</v>
      </c>
      <c r="C96" s="8">
        <v>23.3</v>
      </c>
      <c r="D96" s="9" t="s">
        <v>865</v>
      </c>
      <c r="E96" s="13">
        <v>28500</v>
      </c>
    </row>
    <row r="97" spans="1:5">
      <c r="A97" s="6" t="s">
        <v>245</v>
      </c>
      <c r="B97" s="7" t="s">
        <v>246</v>
      </c>
      <c r="C97" s="8">
        <v>46.6</v>
      </c>
      <c r="D97" s="9" t="s">
        <v>868</v>
      </c>
      <c r="E97" s="13">
        <v>28500</v>
      </c>
    </row>
    <row r="98" spans="1:5">
      <c r="A98" s="6" t="s">
        <v>241</v>
      </c>
      <c r="B98" s="7" t="s">
        <v>242</v>
      </c>
      <c r="C98" s="8">
        <v>35.606000000000002</v>
      </c>
      <c r="D98" s="9" t="s">
        <v>868</v>
      </c>
      <c r="E98" s="13">
        <v>38000</v>
      </c>
    </row>
    <row r="99" spans="1:5">
      <c r="A99" s="6" t="s">
        <v>217</v>
      </c>
      <c r="B99" s="7" t="s">
        <v>218</v>
      </c>
      <c r="C99" s="8">
        <v>56.6</v>
      </c>
      <c r="D99" s="9" t="s">
        <v>868</v>
      </c>
      <c r="E99" s="13">
        <v>28500</v>
      </c>
    </row>
    <row r="100" spans="1:5">
      <c r="A100" s="6" t="s">
        <v>225</v>
      </c>
      <c r="B100" s="7" t="s">
        <v>226</v>
      </c>
      <c r="C100" s="8">
        <v>50.6</v>
      </c>
      <c r="D100" s="9" t="s">
        <v>868</v>
      </c>
      <c r="E100" s="13">
        <v>28500</v>
      </c>
    </row>
    <row r="101" spans="1:5">
      <c r="A101" s="6" t="s">
        <v>255</v>
      </c>
      <c r="B101" s="7" t="s">
        <v>256</v>
      </c>
      <c r="C101" s="8">
        <v>52.89</v>
      </c>
      <c r="D101" s="9" t="s">
        <v>868</v>
      </c>
      <c r="E101" s="13">
        <v>28500</v>
      </c>
    </row>
    <row r="102" spans="1:5">
      <c r="A102" s="6" t="s">
        <v>227</v>
      </c>
      <c r="B102" s="7" t="s">
        <v>228</v>
      </c>
      <c r="C102" s="8">
        <v>49.3</v>
      </c>
      <c r="D102" s="9" t="s">
        <v>868</v>
      </c>
      <c r="E102" s="13">
        <v>28500</v>
      </c>
    </row>
    <row r="103" spans="1:5">
      <c r="A103" s="6" t="s">
        <v>251</v>
      </c>
      <c r="B103" s="7" t="s">
        <v>252</v>
      </c>
      <c r="C103" s="8">
        <v>55.1</v>
      </c>
      <c r="D103" s="9" t="s">
        <v>868</v>
      </c>
      <c r="E103" s="13">
        <v>28500</v>
      </c>
    </row>
    <row r="104" spans="1:5">
      <c r="A104" s="6" t="s">
        <v>231</v>
      </c>
      <c r="B104" s="7" t="s">
        <v>232</v>
      </c>
      <c r="C104" s="8">
        <v>48.2</v>
      </c>
      <c r="D104" s="9" t="s">
        <v>868</v>
      </c>
      <c r="E104" s="13">
        <v>28500</v>
      </c>
    </row>
    <row r="105" spans="1:5">
      <c r="A105" s="6" t="s">
        <v>237</v>
      </c>
      <c r="B105" s="7" t="s">
        <v>238</v>
      </c>
      <c r="C105" s="8">
        <v>51.3</v>
      </c>
      <c r="D105" s="9" t="s">
        <v>868</v>
      </c>
      <c r="E105" s="13">
        <v>28500</v>
      </c>
    </row>
    <row r="106" spans="1:5">
      <c r="A106" s="6" t="s">
        <v>243</v>
      </c>
      <c r="B106" s="7" t="s">
        <v>244</v>
      </c>
      <c r="C106" s="8">
        <v>50.5</v>
      </c>
      <c r="D106" s="9" t="s">
        <v>868</v>
      </c>
      <c r="E106" s="13">
        <v>28500</v>
      </c>
    </row>
    <row r="107" spans="1:5">
      <c r="A107" s="6" t="s">
        <v>219</v>
      </c>
      <c r="B107" s="7" t="s">
        <v>220</v>
      </c>
      <c r="C107" s="8">
        <v>50.1</v>
      </c>
      <c r="D107" s="9" t="s">
        <v>868</v>
      </c>
      <c r="E107" s="13">
        <v>38000</v>
      </c>
    </row>
    <row r="108" spans="1:5">
      <c r="A108" s="6" t="s">
        <v>253</v>
      </c>
      <c r="B108" s="7" t="s">
        <v>254</v>
      </c>
      <c r="C108" s="8">
        <v>58</v>
      </c>
      <c r="D108" s="9" t="s">
        <v>868</v>
      </c>
      <c r="E108" s="13">
        <v>28500</v>
      </c>
    </row>
    <row r="109" spans="1:5">
      <c r="A109" s="6" t="s">
        <v>221</v>
      </c>
      <c r="B109" s="7" t="s">
        <v>222</v>
      </c>
      <c r="C109" s="8">
        <v>47.4</v>
      </c>
      <c r="D109" s="9" t="s">
        <v>868</v>
      </c>
      <c r="E109" s="13">
        <v>28500</v>
      </c>
    </row>
    <row r="110" spans="1:5">
      <c r="A110" s="6" t="s">
        <v>249</v>
      </c>
      <c r="B110" s="7" t="s">
        <v>250</v>
      </c>
      <c r="C110" s="8">
        <v>55.145000000000003</v>
      </c>
      <c r="D110" s="9" t="s">
        <v>868</v>
      </c>
      <c r="E110" s="13">
        <v>28500</v>
      </c>
    </row>
    <row r="111" spans="1:5">
      <c r="A111" s="6" t="s">
        <v>233</v>
      </c>
      <c r="B111" s="7" t="s">
        <v>234</v>
      </c>
      <c r="C111" s="8">
        <v>37.200000000000003</v>
      </c>
      <c r="D111" s="9" t="s">
        <v>868</v>
      </c>
      <c r="E111" s="13">
        <v>28500</v>
      </c>
    </row>
    <row r="112" spans="1:5">
      <c r="A112" s="6" t="s">
        <v>235</v>
      </c>
      <c r="B112" s="7" t="s">
        <v>236</v>
      </c>
      <c r="C112" s="8">
        <v>49.5</v>
      </c>
      <c r="D112" s="9" t="s">
        <v>868</v>
      </c>
      <c r="E112" s="13">
        <v>28500</v>
      </c>
    </row>
    <row r="113" spans="1:5">
      <c r="A113" s="6" t="s">
        <v>223</v>
      </c>
      <c r="B113" s="7" t="s">
        <v>224</v>
      </c>
      <c r="C113" s="8">
        <v>49.387999999999998</v>
      </c>
      <c r="D113" s="9" t="s">
        <v>868</v>
      </c>
      <c r="E113" s="13">
        <v>28500</v>
      </c>
    </row>
    <row r="114" spans="1:5">
      <c r="A114" s="6" t="s">
        <v>247</v>
      </c>
      <c r="B114" s="7" t="s">
        <v>248</v>
      </c>
      <c r="C114" s="8">
        <v>48.9</v>
      </c>
      <c r="D114" s="9" t="s">
        <v>868</v>
      </c>
      <c r="E114" s="13">
        <v>28500</v>
      </c>
    </row>
    <row r="115" spans="1:5">
      <c r="A115" s="6" t="s">
        <v>213</v>
      </c>
      <c r="B115" s="7" t="s">
        <v>214</v>
      </c>
      <c r="C115" s="8">
        <v>49.5</v>
      </c>
      <c r="D115" s="9" t="s">
        <v>868</v>
      </c>
      <c r="E115" s="13">
        <v>28500</v>
      </c>
    </row>
    <row r="116" spans="1:5">
      <c r="A116" s="6" t="s">
        <v>229</v>
      </c>
      <c r="B116" s="7" t="s">
        <v>230</v>
      </c>
      <c r="C116" s="8">
        <v>49.9</v>
      </c>
      <c r="D116" s="9" t="s">
        <v>868</v>
      </c>
      <c r="E116" s="13">
        <v>28500</v>
      </c>
    </row>
    <row r="117" spans="1:5">
      <c r="A117" s="6" t="s">
        <v>239</v>
      </c>
      <c r="B117" s="7" t="s">
        <v>240</v>
      </c>
      <c r="C117" s="8">
        <v>50.3</v>
      </c>
      <c r="D117" s="9" t="s">
        <v>868</v>
      </c>
      <c r="E117" s="13">
        <v>28500</v>
      </c>
    </row>
    <row r="118" spans="1:5">
      <c r="A118" s="6" t="s">
        <v>257</v>
      </c>
      <c r="B118" s="7" t="s">
        <v>258</v>
      </c>
      <c r="C118" s="8">
        <v>0</v>
      </c>
      <c r="D118" s="9" t="s">
        <v>868</v>
      </c>
      <c r="E118" s="13">
        <v>28500</v>
      </c>
    </row>
    <row r="119" spans="1:5">
      <c r="A119" s="6" t="s">
        <v>215</v>
      </c>
      <c r="B119" s="7" t="s">
        <v>216</v>
      </c>
      <c r="C119" s="8">
        <v>25.6</v>
      </c>
      <c r="D119" s="9" t="s">
        <v>868</v>
      </c>
      <c r="E119" s="13">
        <v>28500</v>
      </c>
    </row>
    <row r="120" spans="1:5">
      <c r="A120" s="6" t="s">
        <v>265</v>
      </c>
      <c r="B120" s="7" t="s">
        <v>266</v>
      </c>
      <c r="C120" s="8">
        <v>89.5</v>
      </c>
      <c r="D120" s="9" t="s">
        <v>885</v>
      </c>
      <c r="E120" s="13">
        <v>34800</v>
      </c>
    </row>
    <row r="121" spans="1:5">
      <c r="A121" s="6" t="s">
        <v>271</v>
      </c>
      <c r="B121" s="7" t="s">
        <v>272</v>
      </c>
      <c r="C121" s="8">
        <v>75.400000000000006</v>
      </c>
      <c r="D121" s="9" t="s">
        <v>885</v>
      </c>
      <c r="E121" s="13">
        <v>34800</v>
      </c>
    </row>
    <row r="122" spans="1:5">
      <c r="A122" s="6" t="s">
        <v>275</v>
      </c>
      <c r="B122" s="7" t="s">
        <v>276</v>
      </c>
      <c r="C122" s="8">
        <v>27.888999999999999</v>
      </c>
      <c r="D122" s="9" t="s">
        <v>885</v>
      </c>
      <c r="E122" s="13">
        <v>34800</v>
      </c>
    </row>
    <row r="123" spans="1:5">
      <c r="A123" s="6" t="s">
        <v>269</v>
      </c>
      <c r="B123" s="7" t="s">
        <v>270</v>
      </c>
      <c r="C123" s="8">
        <v>49.156999999999996</v>
      </c>
      <c r="D123" s="9" t="s">
        <v>885</v>
      </c>
      <c r="E123" s="13">
        <v>34800</v>
      </c>
    </row>
    <row r="124" spans="1:5">
      <c r="A124" s="6" t="s">
        <v>273</v>
      </c>
      <c r="B124" s="7" t="s">
        <v>274</v>
      </c>
      <c r="C124" s="8">
        <v>0</v>
      </c>
      <c r="D124" s="9" t="s">
        <v>885</v>
      </c>
      <c r="E124" s="13">
        <v>34800</v>
      </c>
    </row>
    <row r="125" spans="1:5">
      <c r="A125" s="6" t="s">
        <v>407</v>
      </c>
      <c r="B125" s="7" t="s">
        <v>408</v>
      </c>
      <c r="C125" s="8">
        <v>50.081000000000003</v>
      </c>
      <c r="D125" s="9" t="s">
        <v>899</v>
      </c>
      <c r="E125" s="13">
        <v>26200</v>
      </c>
    </row>
    <row r="126" spans="1:5">
      <c r="A126" s="6" t="s">
        <v>411</v>
      </c>
      <c r="B126" s="7" t="s">
        <v>412</v>
      </c>
      <c r="C126" s="8">
        <v>44.4</v>
      </c>
      <c r="D126" s="9" t="s">
        <v>899</v>
      </c>
      <c r="E126" s="13">
        <v>26200</v>
      </c>
    </row>
    <row r="127" spans="1:5">
      <c r="A127" s="6" t="s">
        <v>403</v>
      </c>
      <c r="B127" s="7" t="s">
        <v>404</v>
      </c>
      <c r="C127" s="8">
        <v>56.9</v>
      </c>
      <c r="D127" s="9" t="s">
        <v>899</v>
      </c>
      <c r="E127" s="13">
        <v>26200</v>
      </c>
    </row>
    <row r="128" spans="1:5">
      <c r="A128" s="6" t="s">
        <v>401</v>
      </c>
      <c r="B128" s="7" t="s">
        <v>402</v>
      </c>
      <c r="C128" s="8">
        <v>48.3</v>
      </c>
      <c r="D128" s="9" t="s">
        <v>899</v>
      </c>
      <c r="E128" s="13">
        <v>26200</v>
      </c>
    </row>
    <row r="129" spans="1:5">
      <c r="A129" s="6" t="s">
        <v>397</v>
      </c>
      <c r="B129" s="7" t="s">
        <v>398</v>
      </c>
      <c r="C129" s="8">
        <v>42.98</v>
      </c>
      <c r="D129" s="9" t="s">
        <v>899</v>
      </c>
      <c r="E129" s="13">
        <v>26200</v>
      </c>
    </row>
    <row r="130" spans="1:5">
      <c r="A130" s="6" t="s">
        <v>409</v>
      </c>
      <c r="B130" s="7" t="s">
        <v>410</v>
      </c>
      <c r="C130" s="8">
        <v>52.1</v>
      </c>
      <c r="D130" s="9" t="s">
        <v>899</v>
      </c>
      <c r="E130" s="13">
        <v>26200</v>
      </c>
    </row>
    <row r="131" spans="1:5">
      <c r="A131" s="6" t="s">
        <v>405</v>
      </c>
      <c r="B131" s="7" t="s">
        <v>406</v>
      </c>
      <c r="C131" s="8">
        <v>45.1</v>
      </c>
      <c r="D131" s="9" t="s">
        <v>899</v>
      </c>
      <c r="E131" s="13">
        <v>26200</v>
      </c>
    </row>
    <row r="132" spans="1:5">
      <c r="A132" s="6" t="s">
        <v>399</v>
      </c>
      <c r="B132" s="7" t="s">
        <v>400</v>
      </c>
      <c r="C132" s="8">
        <v>44</v>
      </c>
      <c r="D132" s="9" t="s">
        <v>899</v>
      </c>
      <c r="E132" s="13">
        <v>26200</v>
      </c>
    </row>
    <row r="133" spans="1:5">
      <c r="A133" s="6" t="s">
        <v>413</v>
      </c>
      <c r="B133" s="7" t="s">
        <v>414</v>
      </c>
      <c r="C133" s="8">
        <v>0</v>
      </c>
      <c r="D133" s="9" t="s">
        <v>899</v>
      </c>
      <c r="E133" s="13">
        <v>26200</v>
      </c>
    </row>
    <row r="134" spans="1:5">
      <c r="A134" s="6" t="s">
        <v>435</v>
      </c>
      <c r="B134" s="7" t="s">
        <v>436</v>
      </c>
      <c r="C134" s="8">
        <v>30.9</v>
      </c>
      <c r="D134" s="9" t="s">
        <v>900</v>
      </c>
      <c r="E134" s="13">
        <v>30000</v>
      </c>
    </row>
    <row r="135" spans="1:5">
      <c r="A135" s="6" t="s">
        <v>427</v>
      </c>
      <c r="B135" s="7" t="s">
        <v>428</v>
      </c>
      <c r="C135" s="8">
        <v>31.2</v>
      </c>
      <c r="D135" s="9" t="s">
        <v>900</v>
      </c>
      <c r="E135" s="13">
        <v>30000</v>
      </c>
    </row>
    <row r="136" spans="1:5">
      <c r="A136" s="6" t="s">
        <v>423</v>
      </c>
      <c r="B136" s="7" t="s">
        <v>424</v>
      </c>
      <c r="C136" s="8">
        <v>30.8</v>
      </c>
      <c r="D136" s="9" t="s">
        <v>900</v>
      </c>
      <c r="E136" s="13">
        <v>30000</v>
      </c>
    </row>
    <row r="137" spans="1:5">
      <c r="A137" s="6" t="s">
        <v>433</v>
      </c>
      <c r="B137" s="7" t="s">
        <v>434</v>
      </c>
      <c r="C137" s="8">
        <v>27.1</v>
      </c>
      <c r="D137" s="9" t="s">
        <v>900</v>
      </c>
      <c r="E137" s="13">
        <v>30000</v>
      </c>
    </row>
    <row r="138" spans="1:5">
      <c r="A138" s="6" t="s">
        <v>421</v>
      </c>
      <c r="B138" s="7" t="s">
        <v>422</v>
      </c>
      <c r="C138" s="8">
        <v>30.8</v>
      </c>
      <c r="D138" s="9" t="s">
        <v>900</v>
      </c>
      <c r="E138" s="13">
        <v>30000</v>
      </c>
    </row>
    <row r="139" spans="1:5">
      <c r="A139" s="6" t="s">
        <v>417</v>
      </c>
      <c r="B139" s="7" t="s">
        <v>418</v>
      </c>
      <c r="C139" s="8">
        <v>31.4</v>
      </c>
      <c r="D139" s="9" t="s">
        <v>900</v>
      </c>
      <c r="E139" s="13">
        <v>30000</v>
      </c>
    </row>
    <row r="140" spans="1:5">
      <c r="A140" s="6" t="s">
        <v>415</v>
      </c>
      <c r="B140" s="7" t="s">
        <v>416</v>
      </c>
      <c r="C140" s="8">
        <v>30.9</v>
      </c>
      <c r="D140" s="9" t="s">
        <v>900</v>
      </c>
      <c r="E140" s="13">
        <v>30000</v>
      </c>
    </row>
    <row r="141" spans="1:5">
      <c r="A141" s="6" t="s">
        <v>431</v>
      </c>
      <c r="B141" s="7" t="s">
        <v>432</v>
      </c>
      <c r="C141" s="8">
        <v>0</v>
      </c>
      <c r="D141" s="9" t="s">
        <v>900</v>
      </c>
      <c r="E141" s="13">
        <v>30000</v>
      </c>
    </row>
    <row r="142" spans="1:5">
      <c r="A142" s="6" t="s">
        <v>419</v>
      </c>
      <c r="B142" s="7" t="s">
        <v>420</v>
      </c>
      <c r="C142" s="8">
        <v>0</v>
      </c>
      <c r="D142" s="9" t="s">
        <v>900</v>
      </c>
      <c r="E142" s="13">
        <v>30000</v>
      </c>
    </row>
    <row r="143" spans="1:5">
      <c r="A143" s="6" t="s">
        <v>429</v>
      </c>
      <c r="B143" s="7" t="s">
        <v>430</v>
      </c>
      <c r="C143" s="8">
        <v>0</v>
      </c>
      <c r="D143" s="9" t="s">
        <v>900</v>
      </c>
      <c r="E143" s="13">
        <v>30000</v>
      </c>
    </row>
    <row r="144" spans="1:5">
      <c r="A144" s="6" t="s">
        <v>425</v>
      </c>
      <c r="B144" s="7" t="s">
        <v>426</v>
      </c>
      <c r="C144" s="8">
        <v>0</v>
      </c>
      <c r="D144" s="9" t="s">
        <v>900</v>
      </c>
      <c r="E144" s="13">
        <v>30000</v>
      </c>
    </row>
    <row r="145" spans="1:5">
      <c r="A145" s="6" t="s">
        <v>443</v>
      </c>
      <c r="B145" s="7" t="s">
        <v>444</v>
      </c>
      <c r="C145" s="8">
        <v>0</v>
      </c>
      <c r="D145" s="9" t="s">
        <v>901</v>
      </c>
      <c r="E145" s="13">
        <v>32250</v>
      </c>
    </row>
    <row r="146" spans="1:5">
      <c r="A146" s="6" t="s">
        <v>445</v>
      </c>
      <c r="B146" s="7" t="s">
        <v>446</v>
      </c>
      <c r="C146" s="8">
        <v>0</v>
      </c>
      <c r="D146" s="9" t="s">
        <v>901</v>
      </c>
      <c r="E146" s="13">
        <v>32250</v>
      </c>
    </row>
    <row r="147" spans="1:5">
      <c r="A147" s="6" t="s">
        <v>455</v>
      </c>
      <c r="B147" s="7" t="s">
        <v>456</v>
      </c>
      <c r="C147" s="8">
        <v>35.901000000000003</v>
      </c>
      <c r="D147" s="9" t="s">
        <v>901</v>
      </c>
      <c r="E147" s="13">
        <v>32250</v>
      </c>
    </row>
    <row r="148" spans="1:5">
      <c r="A148" s="6" t="s">
        <v>437</v>
      </c>
      <c r="B148" s="7" t="s">
        <v>438</v>
      </c>
      <c r="C148" s="8">
        <v>29.54</v>
      </c>
      <c r="D148" s="9" t="s">
        <v>901</v>
      </c>
      <c r="E148" s="13">
        <v>32250</v>
      </c>
    </row>
    <row r="149" spans="1:5">
      <c r="A149" s="6" t="s">
        <v>439</v>
      </c>
      <c r="B149" s="7" t="s">
        <v>440</v>
      </c>
      <c r="C149" s="8">
        <v>34.698</v>
      </c>
      <c r="D149" s="9" t="s">
        <v>901</v>
      </c>
      <c r="E149" s="13">
        <v>32250</v>
      </c>
    </row>
    <row r="150" spans="1:5">
      <c r="A150" s="6" t="s">
        <v>451</v>
      </c>
      <c r="B150" s="7" t="s">
        <v>452</v>
      </c>
      <c r="C150" s="8">
        <v>33.4</v>
      </c>
      <c r="D150" s="9" t="s">
        <v>901</v>
      </c>
      <c r="E150" s="13">
        <v>32250</v>
      </c>
    </row>
    <row r="151" spans="1:5">
      <c r="A151" s="6" t="s">
        <v>449</v>
      </c>
      <c r="B151" s="7" t="s">
        <v>450</v>
      </c>
      <c r="C151" s="8">
        <v>37.1</v>
      </c>
      <c r="D151" s="9" t="s">
        <v>901</v>
      </c>
      <c r="E151" s="13">
        <v>32250</v>
      </c>
    </row>
    <row r="152" spans="1:5">
      <c r="A152" s="6" t="s">
        <v>441</v>
      </c>
      <c r="B152" s="7" t="s">
        <v>442</v>
      </c>
      <c r="C152" s="8">
        <v>0</v>
      </c>
      <c r="D152" s="9" t="s">
        <v>901</v>
      </c>
      <c r="E152" s="13">
        <v>32250</v>
      </c>
    </row>
    <row r="153" spans="1:5">
      <c r="A153" s="6" t="s">
        <v>447</v>
      </c>
      <c r="B153" s="7" t="s">
        <v>448</v>
      </c>
      <c r="C153" s="8">
        <v>0</v>
      </c>
      <c r="D153" s="9" t="s">
        <v>901</v>
      </c>
      <c r="E153" s="13">
        <v>32250</v>
      </c>
    </row>
    <row r="154" spans="1:5">
      <c r="A154" s="6" t="s">
        <v>453</v>
      </c>
      <c r="B154" s="7" t="s">
        <v>454</v>
      </c>
      <c r="C154" s="8">
        <v>31.3</v>
      </c>
      <c r="D154" s="9" t="s">
        <v>901</v>
      </c>
      <c r="E154" s="13">
        <v>32250</v>
      </c>
    </row>
    <row r="155" spans="1:5">
      <c r="A155" s="6" t="s">
        <v>473</v>
      </c>
      <c r="B155" s="7" t="s">
        <v>474</v>
      </c>
      <c r="C155" s="8">
        <v>24.5</v>
      </c>
      <c r="D155" s="9" t="s">
        <v>902</v>
      </c>
      <c r="E155" s="13">
        <v>36750</v>
      </c>
    </row>
    <row r="156" spans="1:5">
      <c r="A156" s="6" t="s">
        <v>459</v>
      </c>
      <c r="B156" s="7" t="s">
        <v>460</v>
      </c>
      <c r="C156" s="8">
        <v>24.5</v>
      </c>
      <c r="D156" s="9" t="s">
        <v>902</v>
      </c>
      <c r="E156" s="13">
        <v>36750</v>
      </c>
    </row>
    <row r="157" spans="1:5">
      <c r="A157" s="6" t="s">
        <v>479</v>
      </c>
      <c r="B157" s="7" t="s">
        <v>480</v>
      </c>
      <c r="C157" s="8">
        <v>24.2</v>
      </c>
      <c r="D157" s="9" t="s">
        <v>902</v>
      </c>
      <c r="E157" s="13">
        <v>36750</v>
      </c>
    </row>
    <row r="158" spans="1:5">
      <c r="A158" s="6" t="s">
        <v>469</v>
      </c>
      <c r="B158" s="7" t="s">
        <v>470</v>
      </c>
      <c r="C158" s="8">
        <v>24.5</v>
      </c>
      <c r="D158" s="9" t="s">
        <v>902</v>
      </c>
      <c r="E158" s="13">
        <v>36750</v>
      </c>
    </row>
    <row r="159" spans="1:5">
      <c r="A159" s="6" t="s">
        <v>471</v>
      </c>
      <c r="B159" s="7" t="s">
        <v>472</v>
      </c>
      <c r="C159" s="8">
        <v>24.2</v>
      </c>
      <c r="D159" s="9" t="s">
        <v>902</v>
      </c>
      <c r="E159" s="13">
        <v>36750</v>
      </c>
    </row>
    <row r="160" spans="1:5">
      <c r="A160" s="6" t="s">
        <v>461</v>
      </c>
      <c r="B160" s="7" t="s">
        <v>462</v>
      </c>
      <c r="C160" s="8">
        <v>24.5</v>
      </c>
      <c r="D160" s="9" t="s">
        <v>902</v>
      </c>
      <c r="E160" s="13">
        <v>36750</v>
      </c>
    </row>
    <row r="161" spans="1:5">
      <c r="A161" s="6" t="s">
        <v>477</v>
      </c>
      <c r="B161" s="7" t="s">
        <v>478</v>
      </c>
      <c r="C161" s="8">
        <v>24.8</v>
      </c>
      <c r="D161" s="9" t="s">
        <v>902</v>
      </c>
      <c r="E161" s="13">
        <v>36750</v>
      </c>
    </row>
    <row r="162" spans="1:5">
      <c r="A162" s="6" t="s">
        <v>467</v>
      </c>
      <c r="B162" s="7" t="s">
        <v>468</v>
      </c>
      <c r="C162" s="8">
        <v>24.1</v>
      </c>
      <c r="D162" s="9" t="s">
        <v>902</v>
      </c>
      <c r="E162" s="13">
        <v>36750</v>
      </c>
    </row>
    <row r="163" spans="1:5">
      <c r="A163" s="6" t="s">
        <v>465</v>
      </c>
      <c r="B163" s="7" t="s">
        <v>466</v>
      </c>
      <c r="C163" s="8">
        <v>25.3</v>
      </c>
      <c r="D163" s="9" t="s">
        <v>902</v>
      </c>
      <c r="E163" s="13">
        <v>36750</v>
      </c>
    </row>
    <row r="164" spans="1:5">
      <c r="A164" s="6" t="s">
        <v>533</v>
      </c>
      <c r="B164" s="7" t="s">
        <v>534</v>
      </c>
      <c r="C164" s="8">
        <v>83.1</v>
      </c>
      <c r="D164" s="9" t="s">
        <v>903</v>
      </c>
      <c r="E164" s="13">
        <v>42000</v>
      </c>
    </row>
    <row r="165" spans="1:5">
      <c r="A165" s="6" t="s">
        <v>525</v>
      </c>
      <c r="B165" s="7" t="s">
        <v>526</v>
      </c>
      <c r="C165" s="8">
        <v>27.5</v>
      </c>
      <c r="D165" s="9" t="s">
        <v>903</v>
      </c>
      <c r="E165" s="13">
        <v>42000</v>
      </c>
    </row>
    <row r="166" spans="1:5">
      <c r="A166" s="6" t="s">
        <v>559</v>
      </c>
      <c r="B166" s="7" t="s">
        <v>560</v>
      </c>
      <c r="C166" s="8">
        <v>0</v>
      </c>
      <c r="D166" s="9" t="s">
        <v>903</v>
      </c>
      <c r="E166" s="13">
        <v>42000</v>
      </c>
    </row>
    <row r="167" spans="1:5">
      <c r="A167" s="6" t="s">
        <v>539</v>
      </c>
      <c r="B167" s="7" t="s">
        <v>540</v>
      </c>
      <c r="C167" s="8">
        <v>53.1</v>
      </c>
      <c r="D167" s="9" t="s">
        <v>903</v>
      </c>
      <c r="E167" s="13">
        <v>42000</v>
      </c>
    </row>
    <row r="168" spans="1:5">
      <c r="A168" s="6" t="s">
        <v>535</v>
      </c>
      <c r="B168" s="7" t="s">
        <v>536</v>
      </c>
      <c r="C168" s="8">
        <v>51.9</v>
      </c>
      <c r="D168" s="9" t="s">
        <v>903</v>
      </c>
      <c r="E168" s="13">
        <v>42000</v>
      </c>
    </row>
    <row r="169" spans="1:5">
      <c r="A169" s="6" t="s">
        <v>551</v>
      </c>
      <c r="B169" s="7" t="s">
        <v>552</v>
      </c>
      <c r="C169" s="8">
        <v>56.7</v>
      </c>
      <c r="D169" s="9" t="s">
        <v>903</v>
      </c>
      <c r="E169" s="13">
        <v>42000</v>
      </c>
    </row>
    <row r="170" spans="1:5">
      <c r="A170" s="6" t="s">
        <v>553</v>
      </c>
      <c r="B170" s="7" t="s">
        <v>554</v>
      </c>
      <c r="C170" s="8">
        <v>51.146999999999998</v>
      </c>
      <c r="D170" s="9" t="s">
        <v>903</v>
      </c>
      <c r="E170" s="13">
        <v>42000</v>
      </c>
    </row>
    <row r="171" spans="1:5">
      <c r="A171" s="6" t="s">
        <v>555</v>
      </c>
      <c r="B171" s="7" t="s">
        <v>556</v>
      </c>
      <c r="C171" s="8">
        <v>53.743000000000002</v>
      </c>
      <c r="D171" s="9" t="s">
        <v>903</v>
      </c>
      <c r="E171" s="13">
        <v>42000</v>
      </c>
    </row>
    <row r="172" spans="1:5">
      <c r="A172" s="6" t="s">
        <v>523</v>
      </c>
      <c r="B172" s="7" t="s">
        <v>524</v>
      </c>
      <c r="C172" s="8">
        <v>54.6</v>
      </c>
      <c r="D172" s="9" t="s">
        <v>903</v>
      </c>
      <c r="E172" s="13">
        <v>42000</v>
      </c>
    </row>
    <row r="173" spans="1:5">
      <c r="A173" s="6" t="s">
        <v>537</v>
      </c>
      <c r="B173" s="7" t="s">
        <v>538</v>
      </c>
      <c r="C173" s="8">
        <v>28.2</v>
      </c>
      <c r="D173" s="9" t="s">
        <v>903</v>
      </c>
      <c r="E173" s="13">
        <v>42000</v>
      </c>
    </row>
    <row r="174" spans="1:5">
      <c r="A174" s="6" t="s">
        <v>543</v>
      </c>
      <c r="B174" s="7" t="s">
        <v>544</v>
      </c>
      <c r="C174" s="8">
        <v>0</v>
      </c>
      <c r="D174" s="9" t="s">
        <v>903</v>
      </c>
      <c r="E174" s="13">
        <v>42000</v>
      </c>
    </row>
    <row r="175" spans="1:5">
      <c r="A175" s="6" t="s">
        <v>609</v>
      </c>
      <c r="B175" s="7" t="s">
        <v>610</v>
      </c>
      <c r="C175" s="8">
        <v>779.43299999999999</v>
      </c>
      <c r="D175" s="9" t="s">
        <v>876</v>
      </c>
      <c r="E175" s="13">
        <v>36800</v>
      </c>
    </row>
    <row r="176" spans="1:5">
      <c r="A176" s="6" t="s">
        <v>599</v>
      </c>
      <c r="B176" s="7" t="s">
        <v>600</v>
      </c>
      <c r="C176" s="8">
        <v>811.60299999999995</v>
      </c>
      <c r="D176" s="9" t="s">
        <v>876</v>
      </c>
      <c r="E176" s="13">
        <v>36800</v>
      </c>
    </row>
    <row r="177" spans="1:5">
      <c r="A177" s="6" t="s">
        <v>579</v>
      </c>
      <c r="B177" s="7" t="s">
        <v>580</v>
      </c>
      <c r="C177" s="8">
        <v>925.89599999999996</v>
      </c>
      <c r="D177" s="9" t="s">
        <v>876</v>
      </c>
      <c r="E177" s="13">
        <v>36800</v>
      </c>
    </row>
    <row r="178" spans="1:5">
      <c r="A178" s="6" t="s">
        <v>615</v>
      </c>
      <c r="B178" s="7" t="s">
        <v>616</v>
      </c>
      <c r="C178" s="8">
        <v>49.9</v>
      </c>
      <c r="D178" s="9" t="s">
        <v>876</v>
      </c>
      <c r="E178" s="13">
        <v>36800</v>
      </c>
    </row>
    <row r="179" spans="1:5">
      <c r="A179" s="6" t="s">
        <v>593</v>
      </c>
      <c r="B179" s="7" t="s">
        <v>594</v>
      </c>
      <c r="C179" s="8">
        <v>49.42</v>
      </c>
      <c r="D179" s="9" t="s">
        <v>876</v>
      </c>
      <c r="E179" s="13">
        <v>36800</v>
      </c>
    </row>
    <row r="180" spans="1:5">
      <c r="A180" s="6" t="s">
        <v>595</v>
      </c>
      <c r="B180" s="7" t="s">
        <v>596</v>
      </c>
      <c r="C180" s="8">
        <v>48.4</v>
      </c>
      <c r="D180" s="9" t="s">
        <v>876</v>
      </c>
      <c r="E180" s="13">
        <v>36800</v>
      </c>
    </row>
    <row r="181" spans="1:5">
      <c r="A181" s="6" t="s">
        <v>617</v>
      </c>
      <c r="B181" s="7" t="s">
        <v>618</v>
      </c>
      <c r="C181" s="8">
        <v>49.5</v>
      </c>
      <c r="D181" s="9" t="s">
        <v>876</v>
      </c>
      <c r="E181" s="13">
        <v>24000</v>
      </c>
    </row>
    <row r="182" spans="1:5">
      <c r="A182" s="6" t="s">
        <v>573</v>
      </c>
      <c r="B182" s="7" t="s">
        <v>574</v>
      </c>
      <c r="C182" s="8">
        <v>48.9</v>
      </c>
      <c r="D182" s="9" t="s">
        <v>876</v>
      </c>
      <c r="E182" s="13">
        <v>36800</v>
      </c>
    </row>
    <row r="183" spans="1:5">
      <c r="A183" s="6" t="s">
        <v>591</v>
      </c>
      <c r="B183" s="7" t="s">
        <v>592</v>
      </c>
      <c r="C183" s="8">
        <v>244.55500000000001</v>
      </c>
      <c r="D183" s="9" t="s">
        <v>876</v>
      </c>
      <c r="E183" s="13">
        <v>36800</v>
      </c>
    </row>
    <row r="184" spans="1:5">
      <c r="A184" s="6" t="s">
        <v>601</v>
      </c>
      <c r="B184" s="7" t="s">
        <v>602</v>
      </c>
      <c r="C184" s="8">
        <v>289.24599999999998</v>
      </c>
      <c r="D184" s="9" t="s">
        <v>876</v>
      </c>
      <c r="E184" s="13">
        <v>36800</v>
      </c>
    </row>
    <row r="185" spans="1:5">
      <c r="A185" s="6" t="s">
        <v>585</v>
      </c>
      <c r="B185" s="7" t="s">
        <v>586</v>
      </c>
      <c r="C185" s="8">
        <v>49.1</v>
      </c>
      <c r="D185" s="9" t="s">
        <v>876</v>
      </c>
      <c r="E185" s="13">
        <v>36800</v>
      </c>
    </row>
    <row r="186" spans="1:5">
      <c r="A186" s="6" t="s">
        <v>611</v>
      </c>
      <c r="B186" s="7" t="s">
        <v>612</v>
      </c>
      <c r="C186" s="8">
        <v>199.59100000000001</v>
      </c>
      <c r="D186" s="9" t="s">
        <v>876</v>
      </c>
      <c r="E186" s="13">
        <v>36800</v>
      </c>
    </row>
    <row r="187" spans="1:5">
      <c r="A187" s="6" t="s">
        <v>597</v>
      </c>
      <c r="B187" s="7" t="s">
        <v>598</v>
      </c>
      <c r="C187" s="8">
        <v>24.8</v>
      </c>
      <c r="D187" s="9" t="s">
        <v>876</v>
      </c>
      <c r="E187" s="13">
        <v>24000</v>
      </c>
    </row>
    <row r="188" spans="1:5">
      <c r="A188" s="6" t="s">
        <v>619</v>
      </c>
      <c r="B188" s="7" t="s">
        <v>620</v>
      </c>
      <c r="C188" s="8">
        <v>24.14</v>
      </c>
      <c r="D188" s="9" t="s">
        <v>876</v>
      </c>
      <c r="E188" s="13">
        <v>36800</v>
      </c>
    </row>
    <row r="189" spans="1:5">
      <c r="A189" s="6" t="s">
        <v>613</v>
      </c>
      <c r="B189" s="7" t="s">
        <v>614</v>
      </c>
      <c r="C189" s="8">
        <v>168.94300000000001</v>
      </c>
      <c r="D189" s="9" t="s">
        <v>876</v>
      </c>
      <c r="E189" s="13">
        <v>36800</v>
      </c>
    </row>
    <row r="190" spans="1:5">
      <c r="A190" s="6" t="s">
        <v>575</v>
      </c>
      <c r="B190" s="7" t="s">
        <v>576</v>
      </c>
      <c r="C190" s="8">
        <v>24.097000000000001</v>
      </c>
      <c r="D190" s="9" t="s">
        <v>876</v>
      </c>
      <c r="E190" s="13">
        <v>24000</v>
      </c>
    </row>
    <row r="191" spans="1:5">
      <c r="A191" s="6" t="s">
        <v>603</v>
      </c>
      <c r="B191" s="7" t="s">
        <v>604</v>
      </c>
      <c r="C191" s="8">
        <v>0</v>
      </c>
      <c r="D191" s="9" t="s">
        <v>876</v>
      </c>
      <c r="E191" s="13">
        <v>36800</v>
      </c>
    </row>
    <row r="192" spans="1:5">
      <c r="A192" s="6" t="s">
        <v>571</v>
      </c>
      <c r="B192" s="7" t="s">
        <v>572</v>
      </c>
      <c r="C192" s="8">
        <v>23.9</v>
      </c>
      <c r="D192" s="9" t="s">
        <v>876</v>
      </c>
      <c r="E192" s="13">
        <v>24000</v>
      </c>
    </row>
    <row r="193" spans="1:5">
      <c r="A193" s="6" t="s">
        <v>587</v>
      </c>
      <c r="B193" s="7" t="s">
        <v>588</v>
      </c>
      <c r="C193" s="8">
        <v>48.1</v>
      </c>
      <c r="D193" s="9" t="s">
        <v>876</v>
      </c>
      <c r="E193" s="13">
        <v>36800</v>
      </c>
    </row>
    <row r="194" spans="1:5">
      <c r="A194" s="6" t="s">
        <v>577</v>
      </c>
      <c r="B194" s="7" t="s">
        <v>578</v>
      </c>
      <c r="C194" s="8">
        <v>24.8</v>
      </c>
      <c r="D194" s="9" t="s">
        <v>876</v>
      </c>
      <c r="E194" s="13">
        <v>36800</v>
      </c>
    </row>
    <row r="195" spans="1:5">
      <c r="A195" s="6" t="s">
        <v>589</v>
      </c>
      <c r="B195" s="7" t="s">
        <v>590</v>
      </c>
      <c r="C195" s="8">
        <v>0</v>
      </c>
      <c r="D195" s="9" t="s">
        <v>876</v>
      </c>
      <c r="E195" s="13">
        <v>36800</v>
      </c>
    </row>
    <row r="196" spans="1:5">
      <c r="A196" s="6" t="s">
        <v>581</v>
      </c>
      <c r="B196" s="7" t="s">
        <v>582</v>
      </c>
      <c r="C196" s="8">
        <v>24.2</v>
      </c>
      <c r="D196" s="9" t="s">
        <v>876</v>
      </c>
      <c r="E196" s="13">
        <v>24000</v>
      </c>
    </row>
    <row r="197" spans="1:5">
      <c r="A197" s="6" t="s">
        <v>583</v>
      </c>
      <c r="B197" s="7" t="s">
        <v>584</v>
      </c>
      <c r="C197" s="8">
        <v>0</v>
      </c>
      <c r="D197" s="9" t="s">
        <v>876</v>
      </c>
      <c r="E197" s="13">
        <v>24000</v>
      </c>
    </row>
    <row r="198" spans="1:5">
      <c r="A198" s="6" t="s">
        <v>621</v>
      </c>
      <c r="B198" s="7" t="s">
        <v>622</v>
      </c>
      <c r="C198" s="8">
        <v>0</v>
      </c>
      <c r="D198" s="9" t="s">
        <v>876</v>
      </c>
      <c r="E198" s="13">
        <v>36800</v>
      </c>
    </row>
    <row r="199" spans="1:5">
      <c r="A199" s="6" t="s">
        <v>623</v>
      </c>
      <c r="B199" s="7" t="s">
        <v>624</v>
      </c>
      <c r="C199" s="8">
        <v>51.9</v>
      </c>
      <c r="D199" s="9" t="s">
        <v>877</v>
      </c>
      <c r="E199" s="13">
        <v>52800</v>
      </c>
    </row>
    <row r="200" spans="1:5">
      <c r="A200" s="6" t="s">
        <v>645</v>
      </c>
      <c r="B200" s="7" t="s">
        <v>646</v>
      </c>
      <c r="C200" s="8">
        <v>19.600000000000001</v>
      </c>
      <c r="D200" s="9" t="s">
        <v>877</v>
      </c>
      <c r="E200" s="13">
        <v>52800</v>
      </c>
    </row>
    <row r="201" spans="1:5">
      <c r="A201" s="6" t="s">
        <v>649</v>
      </c>
      <c r="B201" s="7" t="s">
        <v>650</v>
      </c>
      <c r="C201" s="8">
        <v>3</v>
      </c>
      <c r="D201" s="9" t="s">
        <v>877</v>
      </c>
      <c r="E201" s="13">
        <v>52800</v>
      </c>
    </row>
    <row r="202" spans="1:5">
      <c r="A202" s="6" t="s">
        <v>631</v>
      </c>
      <c r="B202" s="7" t="s">
        <v>632</v>
      </c>
      <c r="C202" s="8">
        <v>0</v>
      </c>
      <c r="D202" s="9" t="s">
        <v>877</v>
      </c>
      <c r="E202" s="13">
        <v>52800</v>
      </c>
    </row>
    <row r="203" spans="1:5">
      <c r="A203" s="6" t="s">
        <v>685</v>
      </c>
      <c r="B203" s="7" t="s">
        <v>686</v>
      </c>
      <c r="C203" s="8">
        <v>16.7</v>
      </c>
      <c r="D203" s="9" t="s">
        <v>877</v>
      </c>
      <c r="E203" s="13">
        <v>52800</v>
      </c>
    </row>
    <row r="204" spans="1:5">
      <c r="A204" s="6" t="s">
        <v>659</v>
      </c>
      <c r="B204" s="7" t="s">
        <v>660</v>
      </c>
      <c r="C204" s="8">
        <v>3.9239999999999999</v>
      </c>
      <c r="D204" s="9" t="s">
        <v>877</v>
      </c>
      <c r="E204" s="13">
        <v>52800</v>
      </c>
    </row>
    <row r="205" spans="1:5">
      <c r="A205" s="6" t="s">
        <v>673</v>
      </c>
      <c r="B205" s="7" t="s">
        <v>674</v>
      </c>
      <c r="C205" s="8">
        <v>0</v>
      </c>
      <c r="D205" s="9" t="s">
        <v>877</v>
      </c>
      <c r="E205" s="13">
        <v>52800</v>
      </c>
    </row>
    <row r="206" spans="1:5">
      <c r="A206" s="6" t="s">
        <v>663</v>
      </c>
      <c r="B206" s="7" t="s">
        <v>664</v>
      </c>
      <c r="C206" s="8">
        <v>28.506</v>
      </c>
      <c r="D206" s="9" t="s">
        <v>877</v>
      </c>
      <c r="E206" s="13">
        <v>52800</v>
      </c>
    </row>
    <row r="207" spans="1:5">
      <c r="A207" s="6" t="s">
        <v>687</v>
      </c>
      <c r="B207" s="7" t="s">
        <v>688</v>
      </c>
      <c r="C207" s="8">
        <v>8.7149999999999999</v>
      </c>
      <c r="D207" s="9" t="s">
        <v>877</v>
      </c>
      <c r="E207" s="13">
        <v>52800</v>
      </c>
    </row>
    <row r="208" spans="1:5">
      <c r="A208" s="6" t="s">
        <v>627</v>
      </c>
      <c r="B208" s="7" t="s">
        <v>628</v>
      </c>
      <c r="C208" s="8">
        <v>42.680999999999997</v>
      </c>
      <c r="D208" s="9" t="s">
        <v>877</v>
      </c>
      <c r="E208" s="13">
        <v>52800</v>
      </c>
    </row>
    <row r="209" spans="1:5">
      <c r="A209" s="6" t="s">
        <v>653</v>
      </c>
      <c r="B209" s="7" t="s">
        <v>654</v>
      </c>
      <c r="C209" s="8">
        <v>43.357999999999997</v>
      </c>
      <c r="D209" s="9" t="s">
        <v>877</v>
      </c>
      <c r="E209" s="13">
        <v>52800</v>
      </c>
    </row>
    <row r="210" spans="1:5">
      <c r="A210" s="6" t="s">
        <v>625</v>
      </c>
      <c r="B210" s="7" t="s">
        <v>626</v>
      </c>
      <c r="C210" s="8">
        <v>40.1</v>
      </c>
      <c r="D210" s="9" t="s">
        <v>877</v>
      </c>
      <c r="E210" s="13">
        <v>52800</v>
      </c>
    </row>
    <row r="211" spans="1:5">
      <c r="A211" s="6" t="s">
        <v>675</v>
      </c>
      <c r="B211" s="7" t="s">
        <v>676</v>
      </c>
      <c r="C211" s="8">
        <v>17.5</v>
      </c>
      <c r="D211" s="9" t="s">
        <v>877</v>
      </c>
      <c r="E211" s="13">
        <v>52800</v>
      </c>
    </row>
    <row r="212" spans="1:5">
      <c r="A212" s="6" t="s">
        <v>651</v>
      </c>
      <c r="B212" s="7" t="s">
        <v>652</v>
      </c>
      <c r="C212" s="8">
        <v>50.86</v>
      </c>
      <c r="D212" s="9" t="s">
        <v>877</v>
      </c>
      <c r="E212" s="13">
        <v>52800</v>
      </c>
    </row>
    <row r="213" spans="1:5">
      <c r="A213" s="6" t="s">
        <v>689</v>
      </c>
      <c r="B213" s="7" t="s">
        <v>690</v>
      </c>
      <c r="C213" s="8">
        <v>0</v>
      </c>
      <c r="D213" s="9" t="s">
        <v>877</v>
      </c>
      <c r="E213" s="13">
        <v>52800</v>
      </c>
    </row>
    <row r="214" spans="1:5">
      <c r="A214" s="6" t="s">
        <v>691</v>
      </c>
      <c r="B214" s="7" t="s">
        <v>692</v>
      </c>
      <c r="C214" s="8">
        <v>34.4</v>
      </c>
      <c r="D214" s="9" t="s">
        <v>877</v>
      </c>
      <c r="E214" s="13">
        <v>52800</v>
      </c>
    </row>
    <row r="215" spans="1:5">
      <c r="A215" s="6" t="s">
        <v>677</v>
      </c>
      <c r="B215" s="7" t="s">
        <v>678</v>
      </c>
      <c r="C215" s="8">
        <v>0</v>
      </c>
      <c r="D215" s="9" t="s">
        <v>877</v>
      </c>
      <c r="E215" s="13">
        <v>52800</v>
      </c>
    </row>
    <row r="216" spans="1:5">
      <c r="A216" s="6" t="s">
        <v>681</v>
      </c>
      <c r="B216" s="7" t="s">
        <v>682</v>
      </c>
      <c r="C216" s="8">
        <v>50.2</v>
      </c>
      <c r="D216" s="9" t="s">
        <v>877</v>
      </c>
      <c r="E216" s="13">
        <v>52800</v>
      </c>
    </row>
    <row r="217" spans="1:5">
      <c r="A217" s="6" t="s">
        <v>657</v>
      </c>
      <c r="B217" s="7" t="s">
        <v>658</v>
      </c>
      <c r="C217" s="8">
        <v>8.4819999999999993</v>
      </c>
      <c r="D217" s="9" t="s">
        <v>877</v>
      </c>
      <c r="E217" s="13">
        <v>52800</v>
      </c>
    </row>
    <row r="218" spans="1:5">
      <c r="A218" s="6" t="s">
        <v>683</v>
      </c>
      <c r="B218" s="7" t="s">
        <v>684</v>
      </c>
      <c r="C218" s="8">
        <v>71.400000000000006</v>
      </c>
      <c r="D218" s="9" t="s">
        <v>877</v>
      </c>
      <c r="E218" s="13">
        <v>52800</v>
      </c>
    </row>
    <row r="219" spans="1:5">
      <c r="A219" s="6" t="s">
        <v>661</v>
      </c>
      <c r="B219" s="7" t="s">
        <v>662</v>
      </c>
      <c r="C219" s="8">
        <v>7.1</v>
      </c>
      <c r="D219" s="9" t="s">
        <v>877</v>
      </c>
      <c r="E219" s="13">
        <v>52800</v>
      </c>
    </row>
    <row r="220" spans="1:5">
      <c r="A220" s="6" t="s">
        <v>735</v>
      </c>
      <c r="B220" s="7" t="s">
        <v>736</v>
      </c>
      <c r="C220" s="8">
        <v>26.6</v>
      </c>
      <c r="D220" s="9" t="s">
        <v>908</v>
      </c>
      <c r="E220" s="13">
        <v>36700</v>
      </c>
    </row>
    <row r="221" spans="1:5">
      <c r="A221" s="6" t="s">
        <v>731</v>
      </c>
      <c r="B221" s="7" t="s">
        <v>732</v>
      </c>
      <c r="C221" s="8">
        <v>52.591000000000001</v>
      </c>
      <c r="D221" s="9" t="s">
        <v>908</v>
      </c>
      <c r="E221" s="13">
        <v>36700</v>
      </c>
    </row>
    <row r="222" spans="1:5">
      <c r="A222" s="6" t="s">
        <v>723</v>
      </c>
      <c r="B222" s="7" t="s">
        <v>724</v>
      </c>
      <c r="C222" s="8">
        <v>47.3</v>
      </c>
      <c r="D222" s="9" t="s">
        <v>908</v>
      </c>
      <c r="E222" s="13">
        <v>36700</v>
      </c>
    </row>
    <row r="223" spans="1:5">
      <c r="A223" s="6" t="s">
        <v>739</v>
      </c>
      <c r="B223" s="7" t="s">
        <v>740</v>
      </c>
      <c r="C223" s="8">
        <v>0</v>
      </c>
      <c r="D223" s="9" t="s">
        <v>908</v>
      </c>
      <c r="E223" s="13">
        <v>36700</v>
      </c>
    </row>
    <row r="224" spans="1:5">
      <c r="A224" s="6" t="s">
        <v>729</v>
      </c>
      <c r="B224" s="7" t="s">
        <v>730</v>
      </c>
      <c r="C224" s="8">
        <v>74.900000000000006</v>
      </c>
      <c r="D224" s="9" t="s">
        <v>908</v>
      </c>
      <c r="E224" s="13">
        <v>36700</v>
      </c>
    </row>
    <row r="225" spans="1:5">
      <c r="A225" s="6" t="s">
        <v>741</v>
      </c>
      <c r="B225" s="7" t="s">
        <v>742</v>
      </c>
      <c r="C225" s="8">
        <v>61.7</v>
      </c>
      <c r="D225" s="9" t="s">
        <v>908</v>
      </c>
      <c r="E225" s="13">
        <v>36700</v>
      </c>
    </row>
    <row r="226" spans="1:5">
      <c r="A226" s="6" t="s">
        <v>717</v>
      </c>
      <c r="B226" s="7" t="s">
        <v>718</v>
      </c>
      <c r="C226" s="8">
        <v>24.5</v>
      </c>
      <c r="D226" s="9" t="s">
        <v>908</v>
      </c>
      <c r="E226" s="13">
        <v>36700</v>
      </c>
    </row>
    <row r="227" spans="1:5">
      <c r="A227" s="6" t="s">
        <v>711</v>
      </c>
      <c r="B227" s="7" t="s">
        <v>712</v>
      </c>
      <c r="C227" s="8">
        <v>1.8</v>
      </c>
      <c r="D227" s="9" t="s">
        <v>908</v>
      </c>
      <c r="E227" s="13">
        <v>36700</v>
      </c>
    </row>
    <row r="228" spans="1:5">
      <c r="A228" s="6" t="s">
        <v>725</v>
      </c>
      <c r="B228" s="7" t="s">
        <v>726</v>
      </c>
      <c r="C228" s="8">
        <v>51.1</v>
      </c>
      <c r="D228" s="9" t="s">
        <v>908</v>
      </c>
      <c r="E228" s="13">
        <v>44100</v>
      </c>
    </row>
    <row r="229" spans="1:5">
      <c r="A229" s="6" t="s">
        <v>745</v>
      </c>
      <c r="B229" s="7" t="s">
        <v>746</v>
      </c>
      <c r="C229" s="8">
        <v>34.200000000000003</v>
      </c>
      <c r="D229" s="9" t="s">
        <v>908</v>
      </c>
      <c r="E229" s="13">
        <v>36700</v>
      </c>
    </row>
    <row r="230" spans="1:5">
      <c r="A230" s="6" t="s">
        <v>719</v>
      </c>
      <c r="B230" s="7" t="s">
        <v>720</v>
      </c>
      <c r="C230" s="8">
        <v>1.6</v>
      </c>
      <c r="D230" s="9" t="s">
        <v>908</v>
      </c>
      <c r="E230" s="13">
        <v>36700</v>
      </c>
    </row>
    <row r="231" spans="1:5">
      <c r="A231" s="6" t="s">
        <v>727</v>
      </c>
      <c r="B231" s="7" t="s">
        <v>728</v>
      </c>
      <c r="C231" s="8">
        <v>0</v>
      </c>
      <c r="D231" s="9" t="s">
        <v>908</v>
      </c>
      <c r="E231" s="13">
        <v>36700</v>
      </c>
    </row>
    <row r="232" spans="1:5">
      <c r="A232" s="6" t="s">
        <v>721</v>
      </c>
      <c r="B232" s="7" t="s">
        <v>722</v>
      </c>
      <c r="C232" s="8">
        <v>19.2</v>
      </c>
      <c r="D232" s="9" t="s">
        <v>908</v>
      </c>
      <c r="E232" s="13">
        <v>36700</v>
      </c>
    </row>
    <row r="233" spans="1:5">
      <c r="A233" s="6" t="s">
        <v>799</v>
      </c>
      <c r="B233" s="7" t="s">
        <v>800</v>
      </c>
      <c r="C233" s="8">
        <v>0</v>
      </c>
      <c r="D233" s="9" t="s">
        <v>883</v>
      </c>
      <c r="E233" s="13">
        <v>26325</v>
      </c>
    </row>
    <row r="234" spans="1:5">
      <c r="A234" s="6" t="s">
        <v>797</v>
      </c>
      <c r="B234" s="7" t="s">
        <v>798</v>
      </c>
      <c r="C234" s="8">
        <v>62.4</v>
      </c>
      <c r="D234" s="9" t="s">
        <v>883</v>
      </c>
      <c r="E234" s="13">
        <v>26325</v>
      </c>
    </row>
    <row r="235" spans="1:5">
      <c r="A235" s="6" t="s">
        <v>801</v>
      </c>
      <c r="B235" s="7" t="s">
        <v>802</v>
      </c>
      <c r="C235" s="8">
        <v>47.139000000000003</v>
      </c>
      <c r="D235" s="9" t="s">
        <v>883</v>
      </c>
      <c r="E235" s="13">
        <v>26325</v>
      </c>
    </row>
    <row r="236" spans="1:5">
      <c r="A236" s="6" t="s">
        <v>803</v>
      </c>
      <c r="B236" s="7" t="s">
        <v>804</v>
      </c>
      <c r="C236" s="8">
        <v>44.789000000000001</v>
      </c>
      <c r="D236" s="9" t="s">
        <v>883</v>
      </c>
      <c r="E236" s="13">
        <v>26325</v>
      </c>
    </row>
    <row r="237" spans="1:5">
      <c r="A237" s="6" t="s">
        <v>809</v>
      </c>
      <c r="B237" s="7" t="s">
        <v>810</v>
      </c>
      <c r="C237" s="8">
        <v>51.3</v>
      </c>
      <c r="D237" s="9" t="s">
        <v>883</v>
      </c>
      <c r="E237" s="13">
        <v>26325</v>
      </c>
    </row>
    <row r="238" spans="1:5">
      <c r="A238" s="6" t="s">
        <v>793</v>
      </c>
      <c r="B238" s="7" t="s">
        <v>794</v>
      </c>
      <c r="C238" s="8">
        <v>52.2</v>
      </c>
      <c r="D238" s="9" t="s">
        <v>883</v>
      </c>
      <c r="E238" s="13">
        <v>26325</v>
      </c>
    </row>
    <row r="239" spans="1:5">
      <c r="A239" s="6" t="s">
        <v>807</v>
      </c>
      <c r="B239" s="7" t="s">
        <v>808</v>
      </c>
      <c r="C239" s="8">
        <v>45.521000000000001</v>
      </c>
      <c r="D239" s="9" t="s">
        <v>883</v>
      </c>
      <c r="E239" s="13">
        <v>26325</v>
      </c>
    </row>
    <row r="240" spans="1:5">
      <c r="A240" s="6" t="s">
        <v>813</v>
      </c>
      <c r="B240" s="7" t="s">
        <v>814</v>
      </c>
      <c r="C240" s="8">
        <v>50.314999999999998</v>
      </c>
      <c r="D240" s="9" t="s">
        <v>883</v>
      </c>
      <c r="E240" s="13">
        <v>26325</v>
      </c>
    </row>
    <row r="241" spans="1:5">
      <c r="A241" s="6" t="s">
        <v>831</v>
      </c>
      <c r="B241" s="7" t="s">
        <v>832</v>
      </c>
      <c r="C241" s="8">
        <v>104.76600000000001</v>
      </c>
      <c r="D241" s="9" t="s">
        <v>884</v>
      </c>
      <c r="E241" s="13">
        <v>32400</v>
      </c>
    </row>
    <row r="242" spans="1:5">
      <c r="A242" s="6" t="s">
        <v>819</v>
      </c>
      <c r="B242" s="7" t="s">
        <v>820</v>
      </c>
      <c r="C242" s="8">
        <v>76.16</v>
      </c>
      <c r="D242" s="9" t="s">
        <v>884</v>
      </c>
      <c r="E242" s="13">
        <v>32400</v>
      </c>
    </row>
    <row r="243" spans="1:5">
      <c r="A243" s="6" t="s">
        <v>647</v>
      </c>
      <c r="B243" s="7" t="s">
        <v>648</v>
      </c>
      <c r="C243" s="8">
        <v>42.475000000000001</v>
      </c>
      <c r="D243" s="9" t="s">
        <v>877</v>
      </c>
      <c r="E243" s="13">
        <v>52800</v>
      </c>
    </row>
    <row r="244" spans="1:5">
      <c r="A244" s="6" t="s">
        <v>643</v>
      </c>
      <c r="B244" s="7" t="s">
        <v>644</v>
      </c>
      <c r="C244" s="8">
        <v>15.664</v>
      </c>
      <c r="D244" s="9" t="s">
        <v>877</v>
      </c>
      <c r="E244" s="13">
        <v>52800</v>
      </c>
    </row>
    <row r="245" spans="1:5">
      <c r="A245" s="6" t="s">
        <v>71</v>
      </c>
      <c r="B245" s="7" t="s">
        <v>72</v>
      </c>
      <c r="C245" s="8">
        <v>67.179000000000002</v>
      </c>
      <c r="D245" s="9" t="s">
        <v>914</v>
      </c>
      <c r="E245" s="13">
        <v>35700</v>
      </c>
    </row>
    <row r="246" spans="1:5">
      <c r="A246" s="6" t="s">
        <v>715</v>
      </c>
      <c r="B246" s="7" t="s">
        <v>716</v>
      </c>
      <c r="C246" s="8">
        <v>81.58</v>
      </c>
      <c r="D246" s="9" t="s">
        <v>908</v>
      </c>
      <c r="E246" s="13">
        <v>44100</v>
      </c>
    </row>
    <row r="247" spans="1:5">
      <c r="A247" s="6" t="s">
        <v>281</v>
      </c>
      <c r="B247" s="7" t="s">
        <v>282</v>
      </c>
      <c r="C247" s="8">
        <v>0</v>
      </c>
      <c r="D247" s="9" t="s">
        <v>885</v>
      </c>
      <c r="E247" s="13">
        <v>35100</v>
      </c>
    </row>
    <row r="248" spans="1:5">
      <c r="A248" s="6" t="s">
        <v>279</v>
      </c>
      <c r="B248" s="7" t="s">
        <v>280</v>
      </c>
      <c r="C248" s="8">
        <v>0</v>
      </c>
      <c r="D248" s="9" t="s">
        <v>885</v>
      </c>
      <c r="E248" s="13">
        <v>35100</v>
      </c>
    </row>
    <row r="249" spans="1:5">
      <c r="A249" s="6" t="s">
        <v>289</v>
      </c>
      <c r="B249" s="7" t="s">
        <v>290</v>
      </c>
      <c r="C249" s="8">
        <v>0</v>
      </c>
      <c r="D249" s="9" t="s">
        <v>885</v>
      </c>
      <c r="E249" s="13">
        <v>35100</v>
      </c>
    </row>
    <row r="250" spans="1:5">
      <c r="A250" s="6" t="s">
        <v>295</v>
      </c>
      <c r="B250" s="7" t="s">
        <v>296</v>
      </c>
      <c r="C250" s="8">
        <v>0</v>
      </c>
      <c r="D250" s="9" t="s">
        <v>885</v>
      </c>
      <c r="E250" s="13">
        <v>35100</v>
      </c>
    </row>
    <row r="251" spans="1:5">
      <c r="A251" s="6" t="s">
        <v>285</v>
      </c>
      <c r="B251" s="7" t="s">
        <v>286</v>
      </c>
      <c r="C251" s="8">
        <v>0</v>
      </c>
      <c r="D251" s="9" t="s">
        <v>885</v>
      </c>
      <c r="E251" s="13">
        <v>35100</v>
      </c>
    </row>
    <row r="252" spans="1:5">
      <c r="A252" s="6" t="s">
        <v>283</v>
      </c>
      <c r="B252" s="7" t="s">
        <v>284</v>
      </c>
      <c r="C252" s="8">
        <v>0</v>
      </c>
      <c r="D252" s="9" t="s">
        <v>885</v>
      </c>
      <c r="E252" s="13">
        <v>35100</v>
      </c>
    </row>
    <row r="253" spans="1:5">
      <c r="A253" s="6" t="s">
        <v>287</v>
      </c>
      <c r="B253" s="7" t="s">
        <v>288</v>
      </c>
      <c r="C253" s="8">
        <v>0</v>
      </c>
      <c r="D253" s="9" t="s">
        <v>885</v>
      </c>
      <c r="E253" s="13">
        <v>35100</v>
      </c>
    </row>
    <row r="254" spans="1:5">
      <c r="A254" s="6" t="s">
        <v>293</v>
      </c>
      <c r="B254" s="7" t="s">
        <v>294</v>
      </c>
      <c r="C254" s="8">
        <v>0</v>
      </c>
      <c r="D254" s="9" t="s">
        <v>885</v>
      </c>
      <c r="E254" s="13">
        <v>35100</v>
      </c>
    </row>
    <row r="255" spans="1:5">
      <c r="A255" s="6" t="s">
        <v>277</v>
      </c>
      <c r="B255" s="7" t="s">
        <v>278</v>
      </c>
      <c r="C255" s="8">
        <v>0</v>
      </c>
      <c r="D255" s="9" t="s">
        <v>885</v>
      </c>
      <c r="E255" s="13">
        <v>35100</v>
      </c>
    </row>
    <row r="256" spans="1:5">
      <c r="A256" s="6" t="s">
        <v>291</v>
      </c>
      <c r="B256" s="7" t="s">
        <v>292</v>
      </c>
      <c r="C256" s="8">
        <v>0</v>
      </c>
      <c r="D256" s="9" t="s">
        <v>885</v>
      </c>
      <c r="E256" s="13">
        <v>35100</v>
      </c>
    </row>
    <row r="257" spans="1:5">
      <c r="A257" s="6" t="s">
        <v>783</v>
      </c>
      <c r="B257" s="7" t="s">
        <v>784</v>
      </c>
      <c r="C257" s="8">
        <v>0</v>
      </c>
      <c r="D257" s="9" t="s">
        <v>909</v>
      </c>
      <c r="E257" s="13">
        <v>28800</v>
      </c>
    </row>
    <row r="258" spans="1:5">
      <c r="A258" s="6" t="s">
        <v>785</v>
      </c>
      <c r="B258" s="7" t="s">
        <v>786</v>
      </c>
      <c r="C258" s="8">
        <v>0</v>
      </c>
      <c r="D258" s="9" t="s">
        <v>909</v>
      </c>
      <c r="E258" s="13">
        <v>28800</v>
      </c>
    </row>
    <row r="259" spans="1:5">
      <c r="A259" s="6" t="s">
        <v>833</v>
      </c>
      <c r="B259" s="7" t="s">
        <v>834</v>
      </c>
      <c r="C259" s="8">
        <v>41.075000000000003</v>
      </c>
      <c r="D259" s="9" t="s">
        <v>884</v>
      </c>
      <c r="E259" s="13">
        <v>32400</v>
      </c>
    </row>
    <row r="260" spans="1:5">
      <c r="A260" s="6" t="s">
        <v>75</v>
      </c>
      <c r="B260" s="7" t="s">
        <v>76</v>
      </c>
      <c r="C260" s="8">
        <v>43.631999999999998</v>
      </c>
      <c r="D260" s="9" t="s">
        <v>914</v>
      </c>
      <c r="E260" s="13">
        <v>35700</v>
      </c>
    </row>
    <row r="261" spans="1:5">
      <c r="A261" s="6" t="s">
        <v>503</v>
      </c>
      <c r="B261" s="7" t="s">
        <v>504</v>
      </c>
      <c r="C261" s="8">
        <v>45.024000000000001</v>
      </c>
      <c r="D261" s="9" t="s">
        <v>874</v>
      </c>
      <c r="E261" s="13">
        <v>18750</v>
      </c>
    </row>
    <row r="262" spans="1:5">
      <c r="A262" s="6" t="s">
        <v>505</v>
      </c>
      <c r="B262" s="7" t="s">
        <v>506</v>
      </c>
      <c r="C262" s="8">
        <v>47.085000000000001</v>
      </c>
      <c r="D262" s="9" t="s">
        <v>874</v>
      </c>
      <c r="E262" s="13">
        <v>18750</v>
      </c>
    </row>
    <row r="263" spans="1:5">
      <c r="A263" s="6" t="s">
        <v>507</v>
      </c>
      <c r="B263" s="7" t="s">
        <v>508</v>
      </c>
      <c r="C263" s="8">
        <v>49.2</v>
      </c>
      <c r="D263" s="9" t="s">
        <v>874</v>
      </c>
      <c r="E263" s="13">
        <v>18750</v>
      </c>
    </row>
    <row r="264" spans="1:5">
      <c r="A264" s="6" t="s">
        <v>509</v>
      </c>
      <c r="B264" s="7" t="s">
        <v>510</v>
      </c>
      <c r="C264" s="8">
        <v>45.478000000000002</v>
      </c>
      <c r="D264" s="9" t="s">
        <v>874</v>
      </c>
      <c r="E264" s="13">
        <v>18750</v>
      </c>
    </row>
    <row r="265" spans="1:5">
      <c r="A265" s="6" t="s">
        <v>511</v>
      </c>
      <c r="B265" s="7" t="s">
        <v>512</v>
      </c>
      <c r="C265" s="8">
        <v>48</v>
      </c>
      <c r="D265" s="9" t="s">
        <v>874</v>
      </c>
      <c r="E265" s="13">
        <v>18750</v>
      </c>
    </row>
    <row r="266" spans="1:5">
      <c r="A266" s="6" t="s">
        <v>77</v>
      </c>
      <c r="B266" s="7" t="s">
        <v>78</v>
      </c>
      <c r="C266" s="8">
        <v>8406.5540000000001</v>
      </c>
      <c r="D266" s="9" t="s">
        <v>934</v>
      </c>
      <c r="E266" s="13">
        <v>44500</v>
      </c>
    </row>
    <row r="267" spans="1:5">
      <c r="A267" s="6" t="s">
        <v>131</v>
      </c>
      <c r="B267" s="7" t="s">
        <v>132</v>
      </c>
      <c r="C267" s="8">
        <v>228.49199999999999</v>
      </c>
      <c r="D267" s="9" t="s">
        <v>1070</v>
      </c>
      <c r="E267" s="13">
        <v>50400</v>
      </c>
    </row>
    <row r="268" spans="1:5">
      <c r="A268" s="6" t="s">
        <v>129</v>
      </c>
      <c r="B268" s="7" t="s">
        <v>130</v>
      </c>
      <c r="C268" s="8">
        <v>166.143</v>
      </c>
      <c r="D268" s="9" t="s">
        <v>1072</v>
      </c>
      <c r="E268" s="13">
        <v>56250</v>
      </c>
    </row>
    <row r="269" spans="1:5">
      <c r="A269" s="6" t="s">
        <v>679</v>
      </c>
      <c r="B269" s="7" t="s">
        <v>680</v>
      </c>
      <c r="C269" s="8">
        <v>742.89800000000002</v>
      </c>
      <c r="D269" s="9" t="s">
        <v>987</v>
      </c>
      <c r="E269" s="13">
        <v>87500</v>
      </c>
    </row>
    <row r="270" spans="1:5">
      <c r="A270" s="6" t="s">
        <v>733</v>
      </c>
      <c r="B270" s="7" t="s">
        <v>734</v>
      </c>
      <c r="C270" s="8">
        <v>546.34100000000001</v>
      </c>
      <c r="D270" s="9" t="s">
        <v>1074</v>
      </c>
      <c r="E270" s="13">
        <v>61200</v>
      </c>
    </row>
    <row r="271" spans="1:5">
      <c r="A271" s="6" t="s">
        <v>629</v>
      </c>
      <c r="B271" s="7" t="s">
        <v>630</v>
      </c>
      <c r="C271" s="8">
        <v>0</v>
      </c>
      <c r="D271" s="9" t="s">
        <v>877</v>
      </c>
      <c r="E271" s="13">
        <v>52800</v>
      </c>
    </row>
    <row r="272" spans="1:5">
      <c r="A272" s="6" t="s">
        <v>0</v>
      </c>
      <c r="B272" s="7" t="s">
        <v>1</v>
      </c>
      <c r="C272" s="8">
        <v>0</v>
      </c>
      <c r="D272" s="9" t="s">
        <v>914</v>
      </c>
      <c r="E272" s="13">
        <v>29700</v>
      </c>
    </row>
    <row r="273" spans="1:5">
      <c r="A273" s="6" t="s">
        <v>669</v>
      </c>
      <c r="B273" s="7" t="s">
        <v>670</v>
      </c>
      <c r="C273" s="8">
        <v>22.3</v>
      </c>
      <c r="D273" s="9" t="s">
        <v>906</v>
      </c>
      <c r="E273" s="13">
        <v>42240</v>
      </c>
    </row>
    <row r="274" spans="1:5">
      <c r="A274" s="6" t="s">
        <v>671</v>
      </c>
      <c r="B274" s="7" t="s">
        <v>672</v>
      </c>
      <c r="C274" s="8">
        <v>27.994</v>
      </c>
      <c r="D274" s="9" t="s">
        <v>906</v>
      </c>
      <c r="E274" s="13">
        <v>42240</v>
      </c>
    </row>
    <row r="275" spans="1:5">
      <c r="A275" s="6" t="s">
        <v>665</v>
      </c>
      <c r="B275" s="7" t="s">
        <v>666</v>
      </c>
      <c r="C275" s="8">
        <v>8.85</v>
      </c>
      <c r="D275" s="9" t="s">
        <v>906</v>
      </c>
      <c r="E275" s="13">
        <v>42240</v>
      </c>
    </row>
    <row r="276" spans="1:5">
      <c r="A276" s="6" t="s">
        <v>349</v>
      </c>
      <c r="B276" s="7" t="s">
        <v>350</v>
      </c>
      <c r="C276" s="8">
        <v>0</v>
      </c>
      <c r="D276" s="9" t="s">
        <v>891</v>
      </c>
      <c r="E276" s="13">
        <v>29070</v>
      </c>
    </row>
    <row r="277" spans="1:5">
      <c r="A277" s="6" t="s">
        <v>355</v>
      </c>
      <c r="B277" s="7" t="s">
        <v>356</v>
      </c>
      <c r="C277" s="8">
        <v>23.556000000000001</v>
      </c>
      <c r="D277" s="9" t="s">
        <v>891</v>
      </c>
      <c r="E277" s="13">
        <v>29070</v>
      </c>
    </row>
    <row r="278" spans="1:5">
      <c r="A278" s="6" t="s">
        <v>353</v>
      </c>
      <c r="B278" s="7" t="s">
        <v>354</v>
      </c>
      <c r="C278" s="8">
        <v>0</v>
      </c>
      <c r="D278" s="9" t="s">
        <v>891</v>
      </c>
      <c r="E278" s="13">
        <v>29070</v>
      </c>
    </row>
    <row r="279" spans="1:5">
      <c r="A279" s="6" t="s">
        <v>351</v>
      </c>
      <c r="B279" s="7" t="s">
        <v>352</v>
      </c>
      <c r="C279" s="8">
        <v>0</v>
      </c>
      <c r="D279" s="9" t="s">
        <v>891</v>
      </c>
      <c r="E279" s="13">
        <v>29070</v>
      </c>
    </row>
    <row r="280" spans="1:5">
      <c r="A280" s="6" t="s">
        <v>637</v>
      </c>
      <c r="B280" s="7" t="s">
        <v>638</v>
      </c>
      <c r="C280" s="8">
        <v>28.6</v>
      </c>
      <c r="D280" s="9" t="s">
        <v>905</v>
      </c>
      <c r="E280" s="13">
        <v>42240</v>
      </c>
    </row>
    <row r="281" spans="1:5">
      <c r="A281" s="6" t="s">
        <v>635</v>
      </c>
      <c r="B281" s="7" t="s">
        <v>636</v>
      </c>
      <c r="C281" s="8">
        <v>62.9</v>
      </c>
      <c r="D281" s="9" t="s">
        <v>905</v>
      </c>
      <c r="E281" s="13">
        <v>42240</v>
      </c>
    </row>
    <row r="282" spans="1:5">
      <c r="A282" s="6" t="s">
        <v>639</v>
      </c>
      <c r="B282" s="7" t="s">
        <v>640</v>
      </c>
      <c r="C282" s="8">
        <v>53.47</v>
      </c>
      <c r="D282" s="9" t="s">
        <v>905</v>
      </c>
      <c r="E282" s="13">
        <v>42240</v>
      </c>
    </row>
    <row r="283" spans="1:5">
      <c r="A283" s="6" t="s">
        <v>337</v>
      </c>
      <c r="B283" s="7" t="s">
        <v>338</v>
      </c>
      <c r="C283" s="8">
        <v>33.1</v>
      </c>
      <c r="D283" s="9" t="s">
        <v>889</v>
      </c>
      <c r="E283" s="13">
        <v>29050</v>
      </c>
    </row>
    <row r="284" spans="1:5">
      <c r="A284" s="6" t="s">
        <v>339</v>
      </c>
      <c r="B284" s="7" t="s">
        <v>340</v>
      </c>
      <c r="C284" s="8">
        <v>11.6</v>
      </c>
      <c r="D284" s="9" t="s">
        <v>889</v>
      </c>
      <c r="E284" s="13">
        <v>29050</v>
      </c>
    </row>
    <row r="285" spans="1:5">
      <c r="A285" s="6" t="s">
        <v>335</v>
      </c>
      <c r="B285" s="7" t="s">
        <v>336</v>
      </c>
      <c r="C285" s="8">
        <v>12.8</v>
      </c>
      <c r="D285" s="9" t="s">
        <v>889</v>
      </c>
      <c r="E285" s="13">
        <v>29050</v>
      </c>
    </row>
    <row r="286" spans="1:5">
      <c r="A286" s="6" t="s">
        <v>341</v>
      </c>
      <c r="B286" s="7" t="s">
        <v>342</v>
      </c>
      <c r="C286" s="8">
        <v>0</v>
      </c>
      <c r="D286" s="9" t="s">
        <v>889</v>
      </c>
      <c r="E286" s="13">
        <v>29050</v>
      </c>
    </row>
    <row r="287" spans="1:5">
      <c r="A287" s="6" t="s">
        <v>333</v>
      </c>
      <c r="B287" s="7" t="s">
        <v>334</v>
      </c>
      <c r="C287" s="8">
        <v>6</v>
      </c>
      <c r="D287" s="9" t="s">
        <v>889</v>
      </c>
      <c r="E287" s="13">
        <v>29050</v>
      </c>
    </row>
    <row r="288" spans="1:5">
      <c r="A288" s="6" t="s">
        <v>365</v>
      </c>
      <c r="B288" s="7" t="s">
        <v>366</v>
      </c>
      <c r="C288" s="8">
        <v>39.799999999999997</v>
      </c>
      <c r="D288" s="9" t="s">
        <v>892</v>
      </c>
      <c r="E288" s="13">
        <v>28775</v>
      </c>
    </row>
    <row r="289" spans="1:5">
      <c r="A289" s="6" t="s">
        <v>357</v>
      </c>
      <c r="B289" s="7" t="s">
        <v>358</v>
      </c>
      <c r="C289" s="8">
        <v>0</v>
      </c>
      <c r="D289" s="9" t="s">
        <v>892</v>
      </c>
      <c r="E289" s="13">
        <v>28775</v>
      </c>
    </row>
    <row r="290" spans="1:5">
      <c r="A290" s="6" t="s">
        <v>361</v>
      </c>
      <c r="B290" s="7" t="s">
        <v>362</v>
      </c>
      <c r="C290" s="8">
        <v>0</v>
      </c>
      <c r="D290" s="9" t="s">
        <v>892</v>
      </c>
      <c r="E290" s="13">
        <v>28775</v>
      </c>
    </row>
    <row r="291" spans="1:5">
      <c r="A291" s="6" t="s">
        <v>363</v>
      </c>
      <c r="B291" s="7" t="s">
        <v>364</v>
      </c>
      <c r="C291" s="8">
        <v>0</v>
      </c>
      <c r="D291" s="9" t="s">
        <v>892</v>
      </c>
      <c r="E291" s="13">
        <v>28775</v>
      </c>
    </row>
    <row r="292" spans="1:5">
      <c r="A292" s="6" t="s">
        <v>359</v>
      </c>
      <c r="B292" s="7" t="s">
        <v>360</v>
      </c>
      <c r="C292" s="8">
        <v>22.74</v>
      </c>
      <c r="D292" s="9" t="s">
        <v>892</v>
      </c>
      <c r="E292" s="13">
        <v>28775</v>
      </c>
    </row>
    <row r="293" spans="1:5">
      <c r="A293" s="6" t="s">
        <v>531</v>
      </c>
      <c r="B293" s="7" t="s">
        <v>532</v>
      </c>
      <c r="C293" s="8">
        <v>0</v>
      </c>
      <c r="D293" s="9" t="s">
        <v>903</v>
      </c>
      <c r="E293" s="13">
        <v>42000</v>
      </c>
    </row>
    <row r="294" spans="1:5">
      <c r="A294" s="6" t="s">
        <v>16</v>
      </c>
      <c r="B294" s="7" t="s">
        <v>15</v>
      </c>
      <c r="C294" s="8">
        <v>0</v>
      </c>
      <c r="D294" s="9" t="s">
        <v>914</v>
      </c>
      <c r="E294" s="13">
        <v>35700</v>
      </c>
    </row>
    <row r="295" spans="1:5">
      <c r="A295" s="6" t="s">
        <v>541</v>
      </c>
      <c r="B295" s="7" t="s">
        <v>542</v>
      </c>
      <c r="C295" s="8">
        <v>50.188000000000002</v>
      </c>
      <c r="D295" s="9" t="s">
        <v>903</v>
      </c>
      <c r="E295" s="13">
        <v>42000</v>
      </c>
    </row>
    <row r="296" spans="1:5">
      <c r="A296" s="6" t="s">
        <v>547</v>
      </c>
      <c r="B296" s="7" t="s">
        <v>548</v>
      </c>
      <c r="C296" s="8">
        <v>0</v>
      </c>
      <c r="D296" s="9" t="s">
        <v>903</v>
      </c>
      <c r="E296" s="13">
        <v>42000</v>
      </c>
    </row>
    <row r="297" spans="1:5">
      <c r="A297" s="6" t="s">
        <v>549</v>
      </c>
      <c r="B297" s="7" t="s">
        <v>550</v>
      </c>
      <c r="C297" s="8">
        <v>0</v>
      </c>
      <c r="D297" s="9" t="s">
        <v>903</v>
      </c>
      <c r="E297" s="13">
        <v>42000</v>
      </c>
    </row>
    <row r="298" spans="1:5">
      <c r="A298" s="6" t="s">
        <v>557</v>
      </c>
      <c r="B298" s="7" t="s">
        <v>558</v>
      </c>
      <c r="C298" s="8">
        <v>0</v>
      </c>
      <c r="D298" s="9" t="s">
        <v>903</v>
      </c>
      <c r="E298" s="13">
        <v>42000</v>
      </c>
    </row>
    <row r="299" spans="1:5">
      <c r="A299" s="6" t="s">
        <v>737</v>
      </c>
      <c r="B299" s="7" t="s">
        <v>738</v>
      </c>
      <c r="C299" s="8">
        <v>47.7</v>
      </c>
      <c r="D299" s="9" t="s">
        <v>908</v>
      </c>
      <c r="E299" s="13">
        <v>36700</v>
      </c>
    </row>
    <row r="300" spans="1:5">
      <c r="A300" s="6" t="s">
        <v>743</v>
      </c>
      <c r="B300" s="7" t="s">
        <v>744</v>
      </c>
      <c r="C300" s="8">
        <v>0.3</v>
      </c>
      <c r="D300" s="9" t="s">
        <v>908</v>
      </c>
      <c r="E300" s="13">
        <v>36700</v>
      </c>
    </row>
    <row r="301" spans="1:5">
      <c r="A301" s="6" t="s">
        <v>655</v>
      </c>
      <c r="B301" s="7" t="s">
        <v>656</v>
      </c>
      <c r="C301" s="8">
        <v>73.7</v>
      </c>
      <c r="D301" s="9" t="s">
        <v>877</v>
      </c>
      <c r="E301" s="13">
        <v>42240</v>
      </c>
    </row>
    <row r="302" spans="1:5">
      <c r="A302" s="6" t="s">
        <v>457</v>
      </c>
      <c r="B302" s="7" t="s">
        <v>458</v>
      </c>
      <c r="C302" s="8">
        <v>0</v>
      </c>
      <c r="D302" s="9" t="s">
        <v>902</v>
      </c>
      <c r="E302" s="13">
        <v>36750</v>
      </c>
    </row>
    <row r="303" spans="1:5">
      <c r="A303" s="6" t="s">
        <v>475</v>
      </c>
      <c r="B303" s="7" t="s">
        <v>476</v>
      </c>
      <c r="C303" s="8">
        <v>0</v>
      </c>
      <c r="D303" s="9" t="s">
        <v>902</v>
      </c>
      <c r="E303" s="13">
        <v>36750</v>
      </c>
    </row>
    <row r="304" spans="1:5">
      <c r="A304" s="6" t="s">
        <v>713</v>
      </c>
      <c r="B304" s="7" t="s">
        <v>714</v>
      </c>
      <c r="C304" s="8">
        <v>3.0000000000000001E-3</v>
      </c>
      <c r="D304" s="9" t="s">
        <v>908</v>
      </c>
      <c r="E304" s="13">
        <v>44100</v>
      </c>
    </row>
    <row r="305" spans="1:5">
      <c r="A305" s="6" t="s">
        <v>545</v>
      </c>
      <c r="B305" s="7" t="s">
        <v>546</v>
      </c>
      <c r="C305" s="8">
        <v>48.566000000000003</v>
      </c>
      <c r="D305" s="9" t="s">
        <v>903</v>
      </c>
      <c r="E305" s="13">
        <v>42000</v>
      </c>
    </row>
    <row r="306" spans="1:5">
      <c r="A306" s="6" t="s">
        <v>527</v>
      </c>
      <c r="B306" s="7" t="s">
        <v>528</v>
      </c>
      <c r="C306" s="8">
        <v>55.8</v>
      </c>
      <c r="D306" s="9" t="s">
        <v>903</v>
      </c>
      <c r="E306" s="13">
        <v>42000</v>
      </c>
    </row>
    <row r="307" spans="1:5">
      <c r="A307" s="6" t="s">
        <v>747</v>
      </c>
      <c r="B307" s="7" t="s">
        <v>748</v>
      </c>
      <c r="C307" s="8">
        <v>75</v>
      </c>
      <c r="D307" s="9" t="s">
        <v>908</v>
      </c>
      <c r="E307" s="13">
        <v>44100</v>
      </c>
    </row>
    <row r="308" spans="1:5">
      <c r="A308" s="6" t="s">
        <v>23</v>
      </c>
      <c r="B308" s="7" t="s">
        <v>24</v>
      </c>
      <c r="C308" s="8">
        <v>44.4</v>
      </c>
      <c r="D308" s="9" t="s">
        <v>914</v>
      </c>
      <c r="E308" s="13">
        <v>35700</v>
      </c>
    </row>
    <row r="309" spans="1:5">
      <c r="A309" s="6" t="s">
        <v>605</v>
      </c>
      <c r="B309" s="7" t="s">
        <v>606</v>
      </c>
      <c r="C309" s="8">
        <v>52.408999999999999</v>
      </c>
      <c r="D309" s="9" t="s">
        <v>904</v>
      </c>
      <c r="E309" s="13">
        <v>29750</v>
      </c>
    </row>
    <row r="310" spans="1:5">
      <c r="A310" s="6" t="s">
        <v>6</v>
      </c>
      <c r="B310" s="7" t="s">
        <v>7</v>
      </c>
      <c r="C310" s="8">
        <v>44.9</v>
      </c>
      <c r="D310" s="9" t="s">
        <v>914</v>
      </c>
      <c r="E310" s="13">
        <v>35700</v>
      </c>
    </row>
    <row r="311" spans="1:5">
      <c r="A311" s="6" t="s">
        <v>135</v>
      </c>
      <c r="B311" s="7" t="s">
        <v>136</v>
      </c>
      <c r="C311" s="8">
        <v>44.09</v>
      </c>
      <c r="D311" s="9" t="s">
        <v>862</v>
      </c>
      <c r="E311" s="13">
        <v>28350</v>
      </c>
    </row>
    <row r="312" spans="1:5">
      <c r="A312" s="6" t="s">
        <v>137</v>
      </c>
      <c r="B312" s="7" t="s">
        <v>138</v>
      </c>
      <c r="C312" s="8">
        <v>47.5</v>
      </c>
      <c r="D312" s="9" t="s">
        <v>862</v>
      </c>
      <c r="E312" s="13">
        <v>28350</v>
      </c>
    </row>
    <row r="313" spans="1:5">
      <c r="A313" s="6" t="s">
        <v>139</v>
      </c>
      <c r="B313" s="7" t="s">
        <v>140</v>
      </c>
      <c r="C313" s="8">
        <v>45.86</v>
      </c>
      <c r="D313" s="9" t="s">
        <v>862</v>
      </c>
      <c r="E313" s="13">
        <v>28350</v>
      </c>
    </row>
    <row r="314" spans="1:5">
      <c r="A314" s="6" t="s">
        <v>147</v>
      </c>
      <c r="B314" s="7" t="s">
        <v>148</v>
      </c>
      <c r="C314" s="8">
        <v>48.061999999999998</v>
      </c>
      <c r="D314" s="9" t="s">
        <v>863</v>
      </c>
      <c r="E314" s="13">
        <v>27900</v>
      </c>
    </row>
    <row r="315" spans="1:5">
      <c r="A315" s="6" t="s">
        <v>143</v>
      </c>
      <c r="B315" s="7" t="s">
        <v>144</v>
      </c>
      <c r="C315" s="8">
        <v>49.2</v>
      </c>
      <c r="D315" s="9" t="s">
        <v>863</v>
      </c>
      <c r="E315" s="13">
        <v>27900</v>
      </c>
    </row>
    <row r="316" spans="1:5">
      <c r="A316" s="6" t="s">
        <v>141</v>
      </c>
      <c r="B316" s="7" t="s">
        <v>142</v>
      </c>
      <c r="C316" s="8">
        <v>59.9</v>
      </c>
      <c r="D316" s="9" t="s">
        <v>863</v>
      </c>
      <c r="E316" s="13">
        <v>27900</v>
      </c>
    </row>
    <row r="317" spans="1:5">
      <c r="A317" s="6" t="s">
        <v>149</v>
      </c>
      <c r="B317" s="7" t="s">
        <v>150</v>
      </c>
      <c r="C317" s="8">
        <v>52.2</v>
      </c>
      <c r="D317" s="9" t="s">
        <v>863</v>
      </c>
      <c r="E317" s="13">
        <v>27900</v>
      </c>
    </row>
    <row r="318" spans="1:5">
      <c r="A318" s="6" t="s">
        <v>151</v>
      </c>
      <c r="B318" s="7" t="s">
        <v>152</v>
      </c>
      <c r="C318" s="8">
        <v>48.402000000000001</v>
      </c>
      <c r="D318" s="9" t="s">
        <v>863</v>
      </c>
      <c r="E318" s="13">
        <v>27900</v>
      </c>
    </row>
    <row r="319" spans="1:5">
      <c r="A319" s="6" t="s">
        <v>153</v>
      </c>
      <c r="B319" s="7" t="s">
        <v>154</v>
      </c>
      <c r="C319" s="8">
        <v>49</v>
      </c>
      <c r="D319" s="9" t="s">
        <v>863</v>
      </c>
      <c r="E319" s="13">
        <v>27900</v>
      </c>
    </row>
    <row r="320" spans="1:5">
      <c r="A320" s="6" t="s">
        <v>145</v>
      </c>
      <c r="B320" s="7" t="s">
        <v>146</v>
      </c>
      <c r="C320" s="8">
        <v>50.4</v>
      </c>
      <c r="D320" s="9" t="s">
        <v>863</v>
      </c>
      <c r="E320" s="13">
        <v>27900</v>
      </c>
    </row>
    <row r="321" spans="1:5">
      <c r="A321" s="6" t="s">
        <v>205</v>
      </c>
      <c r="B321" s="7" t="s">
        <v>206</v>
      </c>
      <c r="C321" s="8">
        <v>49.9</v>
      </c>
      <c r="D321" s="9" t="s">
        <v>866</v>
      </c>
      <c r="E321" s="13">
        <v>37000</v>
      </c>
    </row>
    <row r="322" spans="1:5">
      <c r="A322" s="6" t="s">
        <v>209</v>
      </c>
      <c r="B322" s="7" t="s">
        <v>210</v>
      </c>
      <c r="C322" s="8">
        <v>45.2</v>
      </c>
      <c r="D322" s="9" t="s">
        <v>867</v>
      </c>
      <c r="E322" s="13">
        <v>43700</v>
      </c>
    </row>
    <row r="323" spans="1:5">
      <c r="A323" s="6" t="s">
        <v>267</v>
      </c>
      <c r="B323" s="7" t="s">
        <v>268</v>
      </c>
      <c r="C323" s="8">
        <v>66.561000000000007</v>
      </c>
      <c r="D323" s="9" t="s">
        <v>885</v>
      </c>
      <c r="E323" s="13">
        <v>34800</v>
      </c>
    </row>
    <row r="324" spans="1:5">
      <c r="A324" s="6" t="s">
        <v>389</v>
      </c>
      <c r="B324" s="7" t="s">
        <v>390</v>
      </c>
      <c r="C324" s="8">
        <v>0.85399999999999998</v>
      </c>
      <c r="D324" s="9" t="s">
        <v>897</v>
      </c>
      <c r="E324" s="13">
        <v>25050</v>
      </c>
    </row>
    <row r="325" spans="1:5">
      <c r="A325" s="6" t="s">
        <v>383</v>
      </c>
      <c r="B325" s="7" t="s">
        <v>384</v>
      </c>
      <c r="C325" s="8">
        <v>48.8</v>
      </c>
      <c r="D325" s="9" t="s">
        <v>897</v>
      </c>
      <c r="E325" s="13">
        <v>25050</v>
      </c>
    </row>
    <row r="326" spans="1:5">
      <c r="A326" s="6" t="s">
        <v>385</v>
      </c>
      <c r="B326" s="7" t="s">
        <v>386</v>
      </c>
      <c r="C326" s="8">
        <v>24</v>
      </c>
      <c r="D326" s="9" t="s">
        <v>897</v>
      </c>
      <c r="E326" s="13">
        <v>25050</v>
      </c>
    </row>
    <row r="327" spans="1:5">
      <c r="A327" s="6" t="s">
        <v>391</v>
      </c>
      <c r="B327" s="7" t="s">
        <v>392</v>
      </c>
      <c r="C327" s="8">
        <v>11.526999999999999</v>
      </c>
      <c r="D327" s="9" t="s">
        <v>897</v>
      </c>
      <c r="E327" s="13">
        <v>25050</v>
      </c>
    </row>
    <row r="328" spans="1:5">
      <c r="A328" s="6" t="s">
        <v>387</v>
      </c>
      <c r="B328" s="7" t="s">
        <v>388</v>
      </c>
      <c r="C328" s="8">
        <v>-1E-3</v>
      </c>
      <c r="D328" s="9" t="s">
        <v>897</v>
      </c>
      <c r="E328" s="13">
        <v>25050</v>
      </c>
    </row>
    <row r="329" spans="1:5">
      <c r="A329" s="6" t="s">
        <v>311</v>
      </c>
      <c r="B329" s="7" t="s">
        <v>312</v>
      </c>
      <c r="C329" s="8">
        <v>2E-3</v>
      </c>
      <c r="D329" s="9" t="s">
        <v>886</v>
      </c>
      <c r="E329" s="13">
        <v>25050</v>
      </c>
    </row>
    <row r="330" spans="1:5">
      <c r="A330" s="6" t="s">
        <v>305</v>
      </c>
      <c r="B330" s="7" t="s">
        <v>306</v>
      </c>
      <c r="C330" s="8">
        <v>46.953000000000003</v>
      </c>
      <c r="D330" s="9" t="s">
        <v>886</v>
      </c>
      <c r="E330" s="13">
        <v>25050</v>
      </c>
    </row>
    <row r="331" spans="1:5">
      <c r="A331" s="6" t="s">
        <v>309</v>
      </c>
      <c r="B331" s="7" t="s">
        <v>310</v>
      </c>
      <c r="C331" s="8">
        <v>-8.0879999999999992</v>
      </c>
      <c r="D331" s="9" t="s">
        <v>886</v>
      </c>
      <c r="E331" s="13">
        <v>25050</v>
      </c>
    </row>
    <row r="332" spans="1:5">
      <c r="A332" s="6" t="s">
        <v>313</v>
      </c>
      <c r="B332" s="7" t="s">
        <v>314</v>
      </c>
      <c r="C332" s="8">
        <v>45.57</v>
      </c>
      <c r="D332" s="9" t="s">
        <v>886</v>
      </c>
      <c r="E332" s="13">
        <v>25050</v>
      </c>
    </row>
    <row r="333" spans="1:5">
      <c r="A333" s="6" t="s">
        <v>369</v>
      </c>
      <c r="B333" s="7" t="s">
        <v>370</v>
      </c>
      <c r="C333" s="8">
        <v>18.928000000000001</v>
      </c>
      <c r="D333" s="9" t="s">
        <v>893</v>
      </c>
      <c r="E333" s="13">
        <v>26100</v>
      </c>
    </row>
    <row r="334" spans="1:5">
      <c r="A334" s="6" t="s">
        <v>319</v>
      </c>
      <c r="B334" s="7" t="s">
        <v>320</v>
      </c>
      <c r="C334" s="8">
        <v>17.408000000000001</v>
      </c>
      <c r="D334" s="9" t="s">
        <v>887</v>
      </c>
      <c r="E334" s="13">
        <v>34000</v>
      </c>
    </row>
    <row r="335" spans="1:5">
      <c r="A335" s="6" t="s">
        <v>317</v>
      </c>
      <c r="B335" s="7" t="s">
        <v>318</v>
      </c>
      <c r="C335" s="8">
        <v>24.574999999999999</v>
      </c>
      <c r="D335" s="9" t="s">
        <v>887</v>
      </c>
      <c r="E335" s="13">
        <v>34000</v>
      </c>
    </row>
    <row r="336" spans="1:5">
      <c r="A336" s="6" t="s">
        <v>323</v>
      </c>
      <c r="B336" s="7" t="s">
        <v>324</v>
      </c>
      <c r="C336" s="8">
        <v>49.2</v>
      </c>
      <c r="D336" s="9" t="s">
        <v>888</v>
      </c>
      <c r="E336" s="13">
        <v>33500</v>
      </c>
    </row>
    <row r="337" spans="1:5">
      <c r="A337" s="6" t="s">
        <v>331</v>
      </c>
      <c r="B337" s="7" t="s">
        <v>332</v>
      </c>
      <c r="C337" s="8">
        <v>66.025999999999996</v>
      </c>
      <c r="D337" s="9" t="s">
        <v>888</v>
      </c>
      <c r="E337" s="13">
        <v>33500</v>
      </c>
    </row>
    <row r="338" spans="1:5">
      <c r="A338" s="6" t="s">
        <v>327</v>
      </c>
      <c r="B338" s="7" t="s">
        <v>328</v>
      </c>
      <c r="C338" s="8">
        <v>61.4</v>
      </c>
      <c r="D338" s="9" t="s">
        <v>888</v>
      </c>
      <c r="E338" s="13">
        <v>33500</v>
      </c>
    </row>
    <row r="339" spans="1:5">
      <c r="A339" s="6" t="s">
        <v>329</v>
      </c>
      <c r="B339" s="7" t="s">
        <v>330</v>
      </c>
      <c r="C339" s="8">
        <v>68.400000000000006</v>
      </c>
      <c r="D339" s="9" t="s">
        <v>888</v>
      </c>
      <c r="E339" s="13">
        <v>33500</v>
      </c>
    </row>
    <row r="340" spans="1:5">
      <c r="A340" s="6" t="s">
        <v>325</v>
      </c>
      <c r="B340" s="7" t="s">
        <v>326</v>
      </c>
      <c r="C340" s="8">
        <v>50.1</v>
      </c>
      <c r="D340" s="9" t="s">
        <v>888</v>
      </c>
      <c r="E340" s="13">
        <v>33500</v>
      </c>
    </row>
    <row r="341" spans="1:5">
      <c r="A341" s="6" t="s">
        <v>321</v>
      </c>
      <c r="B341" s="7" t="s">
        <v>322</v>
      </c>
      <c r="C341" s="8">
        <v>53.3</v>
      </c>
      <c r="D341" s="9" t="s">
        <v>888</v>
      </c>
      <c r="E341" s="13">
        <v>33500</v>
      </c>
    </row>
    <row r="342" spans="1:5">
      <c r="A342" s="6" t="s">
        <v>393</v>
      </c>
      <c r="B342" s="7" t="s">
        <v>394</v>
      </c>
      <c r="C342" s="8">
        <v>96.1</v>
      </c>
      <c r="D342" s="9" t="s">
        <v>898</v>
      </c>
      <c r="E342" s="13">
        <v>29000</v>
      </c>
    </row>
    <row r="343" spans="1:5">
      <c r="A343" s="6" t="s">
        <v>395</v>
      </c>
      <c r="B343" s="7" t="s">
        <v>396</v>
      </c>
      <c r="C343" s="8">
        <v>96.3</v>
      </c>
      <c r="D343" s="9" t="s">
        <v>898</v>
      </c>
      <c r="E343" s="13">
        <v>29000</v>
      </c>
    </row>
    <row r="344" spans="1:5">
      <c r="A344" s="6" t="s">
        <v>463</v>
      </c>
      <c r="B344" s="7" t="s">
        <v>464</v>
      </c>
      <c r="C344" s="8">
        <v>22.7</v>
      </c>
      <c r="D344" s="9" t="s">
        <v>902</v>
      </c>
      <c r="E344" s="13">
        <v>36750</v>
      </c>
    </row>
    <row r="345" spans="1:5">
      <c r="A345" s="6" t="s">
        <v>487</v>
      </c>
      <c r="B345" s="7" t="s">
        <v>488</v>
      </c>
      <c r="C345" s="8">
        <v>77.2</v>
      </c>
      <c r="D345" s="9" t="s">
        <v>871</v>
      </c>
      <c r="E345" s="13">
        <v>33600</v>
      </c>
    </row>
    <row r="346" spans="1:5">
      <c r="A346" s="6" t="s">
        <v>483</v>
      </c>
      <c r="B346" s="7" t="s">
        <v>484</v>
      </c>
      <c r="C346" s="8">
        <v>44.356000000000002</v>
      </c>
      <c r="D346" s="9" t="s">
        <v>871</v>
      </c>
      <c r="E346" s="13">
        <v>33600</v>
      </c>
    </row>
    <row r="347" spans="1:5">
      <c r="A347" s="6" t="s">
        <v>481</v>
      </c>
      <c r="B347" s="7" t="s">
        <v>482</v>
      </c>
      <c r="C347" s="8">
        <v>47.37</v>
      </c>
      <c r="D347" s="9" t="s">
        <v>871</v>
      </c>
      <c r="E347" s="13">
        <v>33600</v>
      </c>
    </row>
    <row r="348" spans="1:5">
      <c r="A348" s="6" t="s">
        <v>485</v>
      </c>
      <c r="B348" s="7" t="s">
        <v>486</v>
      </c>
      <c r="C348" s="8">
        <v>48.44</v>
      </c>
      <c r="D348" s="9" t="s">
        <v>871</v>
      </c>
      <c r="E348" s="13">
        <v>33600</v>
      </c>
    </row>
    <row r="349" spans="1:5">
      <c r="A349" s="6" t="s">
        <v>489</v>
      </c>
      <c r="B349" s="7" t="s">
        <v>490</v>
      </c>
      <c r="C349" s="8">
        <v>48.235999999999997</v>
      </c>
      <c r="D349" s="9" t="s">
        <v>871</v>
      </c>
      <c r="E349" s="13">
        <v>33600</v>
      </c>
    </row>
    <row r="350" spans="1:5">
      <c r="A350" s="6" t="s">
        <v>497</v>
      </c>
      <c r="B350" s="7" t="s">
        <v>498</v>
      </c>
      <c r="C350" s="8">
        <v>36.200000000000003</v>
      </c>
      <c r="D350" s="9" t="s">
        <v>873</v>
      </c>
      <c r="E350" s="13">
        <v>39900</v>
      </c>
    </row>
    <row r="351" spans="1:5">
      <c r="A351" s="6" t="s">
        <v>499</v>
      </c>
      <c r="B351" s="7" t="s">
        <v>500</v>
      </c>
      <c r="C351" s="8">
        <v>45.363999999999997</v>
      </c>
      <c r="D351" s="9" t="s">
        <v>873</v>
      </c>
      <c r="E351" s="13">
        <v>39900</v>
      </c>
    </row>
    <row r="352" spans="1:5">
      <c r="A352" s="6" t="s">
        <v>501</v>
      </c>
      <c r="B352" s="7" t="s">
        <v>502</v>
      </c>
      <c r="C352" s="8">
        <v>39.491999999999997</v>
      </c>
      <c r="D352" s="9" t="s">
        <v>873</v>
      </c>
      <c r="E352" s="13">
        <v>39900</v>
      </c>
    </row>
    <row r="353" spans="1:5">
      <c r="A353" s="6" t="s">
        <v>495</v>
      </c>
      <c r="B353" s="7" t="s">
        <v>496</v>
      </c>
      <c r="C353" s="8">
        <v>47</v>
      </c>
      <c r="D353" s="9" t="s">
        <v>873</v>
      </c>
      <c r="E353" s="13">
        <v>39900</v>
      </c>
    </row>
    <row r="354" spans="1:5">
      <c r="A354" s="6" t="s">
        <v>513</v>
      </c>
      <c r="B354" s="7" t="s">
        <v>514</v>
      </c>
      <c r="C354" s="8">
        <v>-0.77300000000000002</v>
      </c>
      <c r="D354" s="9" t="s">
        <v>875</v>
      </c>
      <c r="E354" s="13">
        <v>28750</v>
      </c>
    </row>
    <row r="355" spans="1:5">
      <c r="A355" s="6" t="s">
        <v>517</v>
      </c>
      <c r="B355" s="7" t="s">
        <v>518</v>
      </c>
      <c r="C355" s="8">
        <v>57.95</v>
      </c>
      <c r="D355" s="9" t="s">
        <v>875</v>
      </c>
      <c r="E355" s="13">
        <v>28750</v>
      </c>
    </row>
    <row r="356" spans="1:5">
      <c r="A356" s="6" t="s">
        <v>519</v>
      </c>
      <c r="B356" s="7" t="s">
        <v>520</v>
      </c>
      <c r="C356" s="8">
        <v>59.5</v>
      </c>
      <c r="D356" s="9" t="s">
        <v>875</v>
      </c>
      <c r="E356" s="13">
        <v>28750</v>
      </c>
    </row>
    <row r="357" spans="1:5">
      <c r="A357" s="6" t="s">
        <v>521</v>
      </c>
      <c r="B357" s="7" t="s">
        <v>522</v>
      </c>
      <c r="C357" s="8">
        <v>57.136000000000003</v>
      </c>
      <c r="D357" s="9" t="s">
        <v>875</v>
      </c>
      <c r="E357" s="13">
        <v>28750</v>
      </c>
    </row>
    <row r="358" spans="1:5">
      <c r="A358" s="6" t="s">
        <v>515</v>
      </c>
      <c r="B358" s="7" t="s">
        <v>516</v>
      </c>
      <c r="C358" s="8">
        <v>51.286000000000001</v>
      </c>
      <c r="D358" s="9" t="s">
        <v>875</v>
      </c>
      <c r="E358" s="13">
        <v>28750</v>
      </c>
    </row>
    <row r="359" spans="1:5">
      <c r="A359" s="6" t="s">
        <v>529</v>
      </c>
      <c r="B359" s="7" t="s">
        <v>530</v>
      </c>
      <c r="C359" s="8">
        <v>51.801000000000002</v>
      </c>
      <c r="D359" s="9" t="s">
        <v>903</v>
      </c>
      <c r="E359" s="13">
        <v>42000</v>
      </c>
    </row>
    <row r="360" spans="1:5">
      <c r="A360" s="6" t="s">
        <v>563</v>
      </c>
      <c r="B360" s="7" t="s">
        <v>564</v>
      </c>
      <c r="C360" s="8">
        <v>45</v>
      </c>
      <c r="D360" s="9" t="s">
        <v>913</v>
      </c>
      <c r="E360" s="13">
        <v>31800</v>
      </c>
    </row>
    <row r="361" spans="1:5">
      <c r="A361" s="6" t="s">
        <v>561</v>
      </c>
      <c r="B361" s="7" t="s">
        <v>562</v>
      </c>
      <c r="C361" s="8">
        <v>44.8</v>
      </c>
      <c r="D361" s="9" t="s">
        <v>913</v>
      </c>
      <c r="E361" s="13">
        <v>31800</v>
      </c>
    </row>
    <row r="362" spans="1:5">
      <c r="A362" s="6" t="s">
        <v>567</v>
      </c>
      <c r="B362" s="7" t="s">
        <v>568</v>
      </c>
      <c r="C362" s="8">
        <v>21.8</v>
      </c>
      <c r="D362" s="9" t="s">
        <v>913</v>
      </c>
      <c r="E362" s="13">
        <v>31800</v>
      </c>
    </row>
    <row r="363" spans="1:5">
      <c r="A363" s="6" t="s">
        <v>607</v>
      </c>
      <c r="B363" s="7" t="s">
        <v>608</v>
      </c>
      <c r="C363" s="8">
        <v>49.1</v>
      </c>
      <c r="D363" s="9" t="s">
        <v>904</v>
      </c>
      <c r="E363" s="13">
        <v>29750</v>
      </c>
    </row>
    <row r="364" spans="1:5">
      <c r="A364" s="6" t="s">
        <v>633</v>
      </c>
      <c r="B364" s="7" t="s">
        <v>634</v>
      </c>
      <c r="C364" s="8">
        <v>29.5</v>
      </c>
      <c r="D364" s="9" t="s">
        <v>905</v>
      </c>
      <c r="E364" s="13">
        <v>42240</v>
      </c>
    </row>
    <row r="365" spans="1:5">
      <c r="A365" s="6" t="s">
        <v>697</v>
      </c>
      <c r="B365" s="7" t="s">
        <v>698</v>
      </c>
      <c r="C365" s="8">
        <v>108.887</v>
      </c>
      <c r="D365" s="9" t="s">
        <v>878</v>
      </c>
      <c r="E365" s="13">
        <v>42050</v>
      </c>
    </row>
    <row r="366" spans="1:5">
      <c r="A366" s="6" t="s">
        <v>704</v>
      </c>
      <c r="B366" s="7" t="s">
        <v>705</v>
      </c>
      <c r="C366" s="8">
        <v>119.8</v>
      </c>
      <c r="D366" s="9" t="s">
        <v>878</v>
      </c>
      <c r="E366" s="13">
        <v>42050</v>
      </c>
    </row>
    <row r="367" spans="1:5">
      <c r="A367" s="6" t="s">
        <v>709</v>
      </c>
      <c r="B367" s="7" t="s">
        <v>710</v>
      </c>
      <c r="C367" s="8">
        <v>70.975999999999999</v>
      </c>
      <c r="D367" s="9" t="s">
        <v>907</v>
      </c>
      <c r="E367" s="13">
        <v>31200</v>
      </c>
    </row>
    <row r="368" spans="1:5">
      <c r="A368" s="6" t="s">
        <v>493</v>
      </c>
      <c r="B368" s="7" t="s">
        <v>494</v>
      </c>
      <c r="C368" s="8">
        <v>994.255</v>
      </c>
      <c r="D368" s="9" t="s">
        <v>974</v>
      </c>
      <c r="E368" s="13">
        <v>37500</v>
      </c>
    </row>
    <row r="369" spans="1:5">
      <c r="A369" s="6" t="s">
        <v>789</v>
      </c>
      <c r="B369" s="7" t="s">
        <v>790</v>
      </c>
      <c r="C369" s="8">
        <v>37.9</v>
      </c>
      <c r="D369" s="9" t="s">
        <v>910</v>
      </c>
      <c r="E369" s="13">
        <v>28150</v>
      </c>
    </row>
    <row r="370" spans="1:5">
      <c r="A370" s="6" t="s">
        <v>787</v>
      </c>
      <c r="B370" s="7" t="s">
        <v>788</v>
      </c>
      <c r="C370" s="8">
        <v>36.158000000000001</v>
      </c>
      <c r="D370" s="9" t="s">
        <v>910</v>
      </c>
      <c r="E370" s="13">
        <v>28150</v>
      </c>
    </row>
    <row r="371" spans="1:5">
      <c r="A371" s="6" t="s">
        <v>821</v>
      </c>
      <c r="B371" s="7" t="s">
        <v>822</v>
      </c>
      <c r="C371" s="8">
        <v>0</v>
      </c>
      <c r="D371" s="9" t="s">
        <v>884</v>
      </c>
      <c r="E371" s="13">
        <v>32400</v>
      </c>
    </row>
    <row r="372" spans="1:5">
      <c r="A372" s="6" t="s">
        <v>823</v>
      </c>
      <c r="B372" s="7" t="s">
        <v>824</v>
      </c>
      <c r="C372" s="8">
        <v>76.906999999999996</v>
      </c>
      <c r="D372" s="9" t="s">
        <v>884</v>
      </c>
      <c r="E372" s="13">
        <v>32400</v>
      </c>
    </row>
    <row r="373" spans="1:5">
      <c r="A373" s="6" t="s">
        <v>815</v>
      </c>
      <c r="B373" s="7" t="s">
        <v>816</v>
      </c>
      <c r="C373" s="8">
        <v>77.5</v>
      </c>
      <c r="D373" s="9" t="s">
        <v>884</v>
      </c>
      <c r="E373" s="13">
        <v>32400</v>
      </c>
    </row>
    <row r="374" spans="1:5">
      <c r="A374" s="6" t="s">
        <v>835</v>
      </c>
      <c r="B374" s="7" t="s">
        <v>836</v>
      </c>
      <c r="C374" s="8">
        <v>70.8</v>
      </c>
      <c r="D374" s="9" t="s">
        <v>884</v>
      </c>
      <c r="E374" s="13">
        <v>32400</v>
      </c>
    </row>
    <row r="375" spans="1:5">
      <c r="A375" s="6" t="s">
        <v>817</v>
      </c>
      <c r="B375" s="7" t="s">
        <v>818</v>
      </c>
      <c r="C375" s="8">
        <v>74.58</v>
      </c>
      <c r="D375" s="9" t="s">
        <v>884</v>
      </c>
      <c r="E375" s="13">
        <v>32400</v>
      </c>
    </row>
    <row r="376" spans="1:5">
      <c r="A376" s="6" t="s">
        <v>847</v>
      </c>
      <c r="B376" s="7" t="s">
        <v>848</v>
      </c>
      <c r="C376" s="8">
        <v>52.4</v>
      </c>
      <c r="D376" s="9" t="s">
        <v>911</v>
      </c>
      <c r="E376" s="13">
        <v>35100</v>
      </c>
    </row>
    <row r="377" spans="1:5">
      <c r="A377" s="6" t="s">
        <v>849</v>
      </c>
      <c r="B377" s="7" t="s">
        <v>850</v>
      </c>
      <c r="C377" s="8">
        <v>50.375999999999998</v>
      </c>
      <c r="D377" s="9" t="s">
        <v>911</v>
      </c>
      <c r="E377" s="13">
        <v>35100</v>
      </c>
    </row>
    <row r="378" spans="1:5">
      <c r="A378" s="6" t="s">
        <v>851</v>
      </c>
      <c r="B378" s="7" t="s">
        <v>852</v>
      </c>
      <c r="C378" s="8">
        <v>49.49</v>
      </c>
      <c r="D378" s="9" t="s">
        <v>911</v>
      </c>
      <c r="E378" s="13">
        <v>35100</v>
      </c>
    </row>
    <row r="379" spans="1:5">
      <c r="A379" s="6" t="s">
        <v>853</v>
      </c>
      <c r="B379" s="7" t="s">
        <v>854</v>
      </c>
      <c r="C379" s="8">
        <v>51.161999999999999</v>
      </c>
      <c r="D379" s="9" t="s">
        <v>911</v>
      </c>
      <c r="E379" s="13">
        <v>35100</v>
      </c>
    </row>
    <row r="380" spans="1:5">
      <c r="A380" s="6" t="s">
        <v>855</v>
      </c>
      <c r="B380" s="7" t="s">
        <v>856</v>
      </c>
      <c r="C380" s="8">
        <v>51.1</v>
      </c>
      <c r="D380" s="9" t="s">
        <v>911</v>
      </c>
      <c r="E380" s="13">
        <v>35100</v>
      </c>
    </row>
    <row r="381" spans="1:5">
      <c r="A381" s="6" t="s">
        <v>307</v>
      </c>
      <c r="B381" s="7" t="s">
        <v>308</v>
      </c>
      <c r="C381" s="8">
        <v>-7.7210000000000001</v>
      </c>
      <c r="D381" s="9" t="s">
        <v>886</v>
      </c>
      <c r="E381" s="13">
        <v>25050</v>
      </c>
    </row>
    <row r="382" spans="1:5">
      <c r="A382" s="6" t="s">
        <v>381</v>
      </c>
      <c r="B382" s="7" t="s">
        <v>382</v>
      </c>
      <c r="C382" s="8">
        <v>24.5</v>
      </c>
      <c r="D382" s="9" t="s">
        <v>896</v>
      </c>
      <c r="E382" s="13">
        <v>28600</v>
      </c>
    </row>
    <row r="383" spans="1:5">
      <c r="A383" s="6" t="s">
        <v>565</v>
      </c>
      <c r="B383" s="7" t="s">
        <v>566</v>
      </c>
      <c r="C383" s="8">
        <v>22.667999999999999</v>
      </c>
      <c r="D383" s="9" t="s">
        <v>913</v>
      </c>
      <c r="E383" s="13">
        <v>31800</v>
      </c>
    </row>
    <row r="384" spans="1:5">
      <c r="A384" s="6" t="s">
        <v>569</v>
      </c>
      <c r="B384" s="7" t="s">
        <v>570</v>
      </c>
      <c r="C384" s="8">
        <v>21.978000000000002</v>
      </c>
      <c r="D384" s="9" t="s">
        <v>913</v>
      </c>
      <c r="E384" s="13">
        <v>31800</v>
      </c>
    </row>
    <row r="385" spans="1:5">
      <c r="A385" s="6" t="s">
        <v>805</v>
      </c>
      <c r="B385" s="7" t="s">
        <v>806</v>
      </c>
      <c r="C385" s="8">
        <v>50.548000000000002</v>
      </c>
      <c r="D385" s="9" t="s">
        <v>883</v>
      </c>
      <c r="E385" s="13">
        <v>26325</v>
      </c>
    </row>
    <row r="386" spans="1:5">
      <c r="A386" s="6" t="s">
        <v>791</v>
      </c>
      <c r="B386" s="7" t="s">
        <v>792</v>
      </c>
      <c r="C386" s="8">
        <v>50.759</v>
      </c>
      <c r="D386" s="9" t="s">
        <v>883</v>
      </c>
      <c r="E386" s="13">
        <v>26325</v>
      </c>
    </row>
    <row r="387" spans="1:5">
      <c r="A387" s="6" t="s">
        <v>811</v>
      </c>
      <c r="B387" s="7" t="s">
        <v>812</v>
      </c>
      <c r="C387" s="8">
        <v>49.686</v>
      </c>
      <c r="D387" s="9" t="s">
        <v>883</v>
      </c>
      <c r="E387" s="13">
        <v>26325</v>
      </c>
    </row>
    <row r="388" spans="1:5">
      <c r="A388" s="6" t="s">
        <v>841</v>
      </c>
      <c r="B388" s="7" t="s">
        <v>842</v>
      </c>
      <c r="C388" s="8">
        <v>77.828999999999994</v>
      </c>
      <c r="D388" s="9" t="s">
        <v>884</v>
      </c>
      <c r="E388" s="13">
        <v>32400</v>
      </c>
    </row>
    <row r="389" spans="1:5">
      <c r="A389" s="6" t="s">
        <v>777</v>
      </c>
      <c r="B389" s="7" t="s">
        <v>778</v>
      </c>
      <c r="C389" s="8">
        <v>18.263000000000002</v>
      </c>
      <c r="D389" s="9" t="s">
        <v>880</v>
      </c>
      <c r="E389" s="13">
        <v>40250</v>
      </c>
    </row>
    <row r="390" spans="1:5">
      <c r="A390" s="6" t="s">
        <v>315</v>
      </c>
      <c r="B390" s="7" t="s">
        <v>316</v>
      </c>
      <c r="C390" s="8">
        <v>24.2</v>
      </c>
      <c r="D390" s="9" t="s">
        <v>887</v>
      </c>
      <c r="E390" s="13">
        <v>34000</v>
      </c>
    </row>
    <row r="391" spans="1:5">
      <c r="A391" s="6" t="s">
        <v>49</v>
      </c>
      <c r="B391" s="7" t="s">
        <v>50</v>
      </c>
      <c r="C391" s="8">
        <v>44.423000000000002</v>
      </c>
      <c r="D391" s="9" t="s">
        <v>914</v>
      </c>
      <c r="E391" s="13">
        <v>35700</v>
      </c>
    </row>
    <row r="392" spans="1:5">
      <c r="A392" s="6" t="s">
        <v>375</v>
      </c>
      <c r="B392" s="7" t="s">
        <v>376</v>
      </c>
      <c r="C392" s="8">
        <v>108.715</v>
      </c>
      <c r="D392" s="9" t="s">
        <v>894</v>
      </c>
      <c r="E392" s="13">
        <v>24990</v>
      </c>
    </row>
    <row r="393" spans="1:5">
      <c r="A393" s="6" t="s">
        <v>371</v>
      </c>
      <c r="B393" s="7" t="s">
        <v>372</v>
      </c>
      <c r="C393" s="8">
        <v>115.562</v>
      </c>
      <c r="D393" s="9" t="s">
        <v>894</v>
      </c>
      <c r="E393" s="13">
        <v>24990</v>
      </c>
    </row>
    <row r="394" spans="1:5">
      <c r="A394" s="6" t="s">
        <v>373</v>
      </c>
      <c r="B394" s="7" t="s">
        <v>374</v>
      </c>
      <c r="C394" s="8">
        <v>94.5</v>
      </c>
      <c r="D394" s="9" t="s">
        <v>894</v>
      </c>
      <c r="E394" s="13">
        <v>24990</v>
      </c>
    </row>
    <row r="395" spans="1:5">
      <c r="A395" s="6" t="s">
        <v>845</v>
      </c>
      <c r="B395" s="7" t="s">
        <v>846</v>
      </c>
      <c r="C395" s="8">
        <v>51.475000000000001</v>
      </c>
      <c r="D395" s="9" t="s">
        <v>884</v>
      </c>
      <c r="E395" s="13">
        <v>32400</v>
      </c>
    </row>
    <row r="396" spans="1:5">
      <c r="A396" s="6" t="s">
        <v>825</v>
      </c>
      <c r="B396" s="7" t="s">
        <v>826</v>
      </c>
      <c r="C396" s="8">
        <v>102.2</v>
      </c>
      <c r="D396" s="9" t="s">
        <v>884</v>
      </c>
      <c r="E396" s="13">
        <v>32400</v>
      </c>
    </row>
    <row r="397" spans="1:5">
      <c r="A397" s="6" t="s">
        <v>795</v>
      </c>
      <c r="B397" s="7" t="s">
        <v>796</v>
      </c>
      <c r="C397" s="8">
        <v>49.287999999999997</v>
      </c>
      <c r="D397" s="9" t="s">
        <v>883</v>
      </c>
      <c r="E397" s="13">
        <v>26325</v>
      </c>
    </row>
    <row r="398" spans="1:5">
      <c r="A398" s="6" t="s">
        <v>379</v>
      </c>
      <c r="B398" s="7" t="s">
        <v>380</v>
      </c>
      <c r="C398" s="8">
        <v>40.786999999999999</v>
      </c>
      <c r="D398" s="9" t="s">
        <v>895</v>
      </c>
      <c r="E398" s="13">
        <v>27720</v>
      </c>
    </row>
    <row r="399" spans="1:5">
      <c r="A399" s="6" t="s">
        <v>377</v>
      </c>
      <c r="B399" s="7" t="s">
        <v>378</v>
      </c>
      <c r="C399" s="8">
        <v>67</v>
      </c>
      <c r="D399" s="9" t="s">
        <v>895</v>
      </c>
      <c r="E399" s="13">
        <v>27720</v>
      </c>
    </row>
    <row r="400" spans="1:5">
      <c r="A400" s="6" t="s">
        <v>12</v>
      </c>
      <c r="B400" s="7" t="s">
        <v>13</v>
      </c>
      <c r="C400" s="8">
        <v>22.126999999999999</v>
      </c>
      <c r="D400" s="9" t="s">
        <v>914</v>
      </c>
      <c r="E400" s="13">
        <v>35700</v>
      </c>
    </row>
    <row r="401" spans="1:5">
      <c r="A401" s="6" t="s">
        <v>667</v>
      </c>
      <c r="B401" s="7" t="s">
        <v>668</v>
      </c>
      <c r="C401" s="8">
        <v>20.803000000000001</v>
      </c>
      <c r="D401" s="9" t="s">
        <v>906</v>
      </c>
      <c r="E401" s="13">
        <v>42240</v>
      </c>
    </row>
    <row r="402" spans="1:5">
      <c r="A402" s="6" t="s">
        <v>347</v>
      </c>
      <c r="B402" s="7" t="s">
        <v>348</v>
      </c>
      <c r="C402" s="8">
        <v>26</v>
      </c>
      <c r="D402" s="9" t="s">
        <v>912</v>
      </c>
      <c r="E402" s="13">
        <v>26880</v>
      </c>
    </row>
    <row r="403" spans="1:5">
      <c r="A403" s="6" t="s">
        <v>343</v>
      </c>
      <c r="B403" s="7" t="s">
        <v>344</v>
      </c>
      <c r="C403" s="8">
        <v>25.5</v>
      </c>
      <c r="D403" s="9" t="s">
        <v>912</v>
      </c>
      <c r="E403" s="13">
        <v>26880</v>
      </c>
    </row>
    <row r="404" spans="1:5">
      <c r="A404" s="6" t="s">
        <v>345</v>
      </c>
      <c r="B404" s="7" t="s">
        <v>346</v>
      </c>
      <c r="C404" s="8">
        <v>0</v>
      </c>
      <c r="D404" s="9" t="s">
        <v>912</v>
      </c>
      <c r="E404" s="13">
        <v>26880</v>
      </c>
    </row>
    <row r="405" spans="1:5">
      <c r="A405" s="6" t="s">
        <v>699</v>
      </c>
      <c r="B405" s="7" t="s">
        <v>698</v>
      </c>
      <c r="C405" s="8">
        <v>-1.698</v>
      </c>
      <c r="D405" s="9" t="s">
        <v>878</v>
      </c>
      <c r="E405" s="13">
        <v>42050</v>
      </c>
    </row>
    <row r="406" spans="1:5">
      <c r="A406" s="6" t="s">
        <v>706</v>
      </c>
      <c r="B406" s="7" t="s">
        <v>705</v>
      </c>
      <c r="C406" s="8">
        <v>0</v>
      </c>
      <c r="D406" s="9" t="s">
        <v>878</v>
      </c>
      <c r="E406" s="13">
        <v>42050</v>
      </c>
    </row>
    <row r="407" spans="1:5">
      <c r="A407" s="6" t="s">
        <v>702</v>
      </c>
      <c r="B407" s="7" t="s">
        <v>703</v>
      </c>
      <c r="C407" s="8">
        <v>20</v>
      </c>
      <c r="D407" s="9" t="s">
        <v>878</v>
      </c>
      <c r="E407" s="13">
        <v>42050</v>
      </c>
    </row>
    <row r="408" spans="1:5">
      <c r="A408" s="6" t="s">
        <v>693</v>
      </c>
      <c r="B408" s="7" t="s">
        <v>694</v>
      </c>
      <c r="C408" s="8">
        <v>19.3</v>
      </c>
      <c r="D408" s="9" t="s">
        <v>878</v>
      </c>
      <c r="E408" s="13">
        <v>42050</v>
      </c>
    </row>
    <row r="409" spans="1:5">
      <c r="A409" s="6" t="s">
        <v>707</v>
      </c>
      <c r="B409" s="7" t="s">
        <v>708</v>
      </c>
      <c r="C409" s="8">
        <v>2.9</v>
      </c>
      <c r="D409" s="9" t="s">
        <v>878</v>
      </c>
      <c r="E409" s="13">
        <v>42050</v>
      </c>
    </row>
    <row r="410" spans="1:5">
      <c r="A410" s="6" t="s">
        <v>695</v>
      </c>
      <c r="B410" s="7" t="s">
        <v>696</v>
      </c>
      <c r="C410" s="8">
        <v>17.97</v>
      </c>
      <c r="D410" s="9" t="s">
        <v>878</v>
      </c>
      <c r="E410" s="13">
        <v>42050</v>
      </c>
    </row>
    <row r="411" spans="1:5">
      <c r="A411" s="6" t="s">
        <v>700</v>
      </c>
      <c r="B411" s="7" t="s">
        <v>701</v>
      </c>
      <c r="C411" s="8">
        <v>21.992000000000001</v>
      </c>
      <c r="D411" s="9" t="s">
        <v>878</v>
      </c>
      <c r="E411" s="13">
        <v>42050</v>
      </c>
    </row>
    <row r="412" spans="1:5">
      <c r="A412" s="6" t="s">
        <v>491</v>
      </c>
      <c r="B412" s="7" t="s">
        <v>492</v>
      </c>
      <c r="C412" s="8">
        <v>1.6</v>
      </c>
      <c r="D412" s="9" t="s">
        <v>872</v>
      </c>
      <c r="E412" s="13">
        <v>34500</v>
      </c>
    </row>
    <row r="413" spans="1:5">
      <c r="A413" s="6" t="s">
        <v>301</v>
      </c>
      <c r="B413" s="7" t="s">
        <v>302</v>
      </c>
      <c r="C413" s="8">
        <v>1.0900000000000001</v>
      </c>
      <c r="D413" s="9" t="s">
        <v>870</v>
      </c>
      <c r="E413" s="13">
        <v>35200</v>
      </c>
    </row>
    <row r="414" spans="1:5">
      <c r="A414" s="6" t="s">
        <v>297</v>
      </c>
      <c r="B414" s="7" t="s">
        <v>298</v>
      </c>
      <c r="C414" s="8">
        <v>-3.9E-2</v>
      </c>
      <c r="D414" s="9" t="s">
        <v>870</v>
      </c>
      <c r="E414" s="13">
        <v>35200</v>
      </c>
    </row>
    <row r="415" spans="1:5">
      <c r="A415" s="6" t="s">
        <v>299</v>
      </c>
      <c r="B415" s="7" t="s">
        <v>300</v>
      </c>
      <c r="C415" s="8">
        <v>6.15</v>
      </c>
      <c r="D415" s="9" t="s">
        <v>870</v>
      </c>
      <c r="E415" s="13">
        <v>35200</v>
      </c>
    </row>
    <row r="416" spans="1:5">
      <c r="A416" s="6" t="s">
        <v>303</v>
      </c>
      <c r="B416" s="7" t="s">
        <v>304</v>
      </c>
      <c r="C416" s="8">
        <v>5.17</v>
      </c>
      <c r="D416" s="9" t="s">
        <v>870</v>
      </c>
      <c r="E416" s="13">
        <v>35200</v>
      </c>
    </row>
    <row r="417" spans="1:5">
      <c r="A417" s="6" t="s">
        <v>207</v>
      </c>
      <c r="B417" s="7" t="s">
        <v>208</v>
      </c>
      <c r="C417" s="8">
        <v>1.4950000000000001</v>
      </c>
      <c r="D417" s="9" t="s">
        <v>867</v>
      </c>
      <c r="E417" s="13">
        <v>43700</v>
      </c>
    </row>
    <row r="418" spans="1:5">
      <c r="A418" s="6" t="s">
        <v>211</v>
      </c>
      <c r="B418" s="7" t="s">
        <v>212</v>
      </c>
      <c r="C418" s="8">
        <v>2.8140000000000001</v>
      </c>
      <c r="D418" s="9" t="s">
        <v>867</v>
      </c>
      <c r="E418" s="13">
        <v>43700</v>
      </c>
    </row>
    <row r="419" spans="1:5">
      <c r="A419" s="6" t="s">
        <v>781</v>
      </c>
      <c r="B419" s="7" t="s">
        <v>782</v>
      </c>
      <c r="C419" s="8">
        <v>2.5049999999999999</v>
      </c>
      <c r="D419" s="9" t="s">
        <v>880</v>
      </c>
      <c r="E419" s="13">
        <v>40250</v>
      </c>
    </row>
    <row r="420" spans="1:5">
      <c r="A420" s="6" t="s">
        <v>775</v>
      </c>
      <c r="B420" s="7" t="s">
        <v>776</v>
      </c>
      <c r="C420" s="8">
        <v>-0.11799999999999999</v>
      </c>
      <c r="D420" s="9" t="s">
        <v>880</v>
      </c>
      <c r="E420" s="13">
        <v>40250</v>
      </c>
    </row>
    <row r="421" spans="1:5">
      <c r="A421" s="6" t="s">
        <v>779</v>
      </c>
      <c r="B421" s="7" t="s">
        <v>780</v>
      </c>
      <c r="C421" s="8">
        <v>6</v>
      </c>
      <c r="D421" s="9" t="s">
        <v>880</v>
      </c>
      <c r="E421" s="13">
        <v>40250</v>
      </c>
    </row>
    <row r="422" spans="1:5">
      <c r="A422" s="6" t="s">
        <v>259</v>
      </c>
      <c r="B422" s="7" t="s">
        <v>260</v>
      </c>
      <c r="C422" s="8">
        <v>10.7</v>
      </c>
      <c r="D422" s="9" t="s">
        <v>869</v>
      </c>
      <c r="E422" s="13">
        <v>42550</v>
      </c>
    </row>
    <row r="423" spans="1:5">
      <c r="A423" s="6" t="s">
        <v>263</v>
      </c>
      <c r="B423" s="7" t="s">
        <v>264</v>
      </c>
      <c r="C423" s="8">
        <v>3.1</v>
      </c>
      <c r="D423" s="9" t="s">
        <v>869</v>
      </c>
      <c r="E423" s="13">
        <v>42550</v>
      </c>
    </row>
    <row r="424" spans="1:5">
      <c r="A424" s="6" t="s">
        <v>261</v>
      </c>
      <c r="B424" s="7" t="s">
        <v>262</v>
      </c>
      <c r="C424" s="8">
        <v>4.5999999999999996</v>
      </c>
      <c r="D424" s="9" t="s">
        <v>869</v>
      </c>
      <c r="E424" s="13">
        <v>42550</v>
      </c>
    </row>
    <row r="425" spans="1:5">
      <c r="A425" s="6" t="s">
        <v>843</v>
      </c>
      <c r="B425" s="7" t="s">
        <v>844</v>
      </c>
      <c r="C425" s="8">
        <v>0</v>
      </c>
      <c r="D425" s="9" t="s">
        <v>884</v>
      </c>
      <c r="E425" s="13">
        <v>32400</v>
      </c>
    </row>
    <row r="426" spans="1:5">
      <c r="A426" s="6" t="s">
        <v>827</v>
      </c>
      <c r="B426" s="7" t="s">
        <v>828</v>
      </c>
      <c r="C426" s="8">
        <v>26</v>
      </c>
      <c r="D426" s="9" t="s">
        <v>884</v>
      </c>
      <c r="E426" s="13">
        <v>32400</v>
      </c>
    </row>
    <row r="427" spans="1:5">
      <c r="A427" s="6" t="s">
        <v>839</v>
      </c>
      <c r="B427" s="7" t="s">
        <v>840</v>
      </c>
      <c r="C427" s="8">
        <v>52.5</v>
      </c>
      <c r="D427" s="9" t="s">
        <v>884</v>
      </c>
      <c r="E427" s="13">
        <v>32400</v>
      </c>
    </row>
    <row r="428" spans="1:5">
      <c r="A428" s="6" t="s">
        <v>837</v>
      </c>
      <c r="B428" s="7" t="s">
        <v>838</v>
      </c>
      <c r="C428" s="8">
        <v>51</v>
      </c>
      <c r="D428" s="9" t="s">
        <v>884</v>
      </c>
      <c r="E428" s="13">
        <v>32400</v>
      </c>
    </row>
    <row r="429" spans="1:5">
      <c r="A429" s="6" t="s">
        <v>829</v>
      </c>
      <c r="B429" s="7" t="s">
        <v>830</v>
      </c>
      <c r="C429" s="8">
        <v>55.5</v>
      </c>
      <c r="D429" s="9" t="s">
        <v>884</v>
      </c>
      <c r="E429" s="13">
        <v>32400</v>
      </c>
    </row>
    <row r="430" spans="1:5">
      <c r="A430" s="6" t="s">
        <v>367</v>
      </c>
      <c r="B430" s="7" t="s">
        <v>368</v>
      </c>
      <c r="C430" s="8">
        <v>13.6</v>
      </c>
      <c r="D430" s="9" t="s">
        <v>893</v>
      </c>
      <c r="E430" s="13">
        <v>26100</v>
      </c>
    </row>
    <row r="431" spans="1:5">
      <c r="A431" s="6" t="s">
        <v>641</v>
      </c>
      <c r="B431" s="7" t="s">
        <v>642</v>
      </c>
      <c r="C431" s="8">
        <v>19.8</v>
      </c>
      <c r="D431" s="9" t="s">
        <v>905</v>
      </c>
      <c r="E431" s="13">
        <v>42240</v>
      </c>
    </row>
    <row r="432" spans="1:5">
      <c r="A432" s="2"/>
      <c r="B432" s="3"/>
      <c r="C432" s="4"/>
    </row>
    <row r="433" spans="1:3">
      <c r="A433" s="2"/>
      <c r="B433" s="3"/>
      <c r="C433" s="4"/>
    </row>
    <row r="434" spans="1:3">
      <c r="A434" s="2"/>
      <c r="B434" s="3"/>
      <c r="C434" s="4"/>
    </row>
  </sheetData>
  <autoFilter ref="A1:D431"/>
  <pageMargins left="0.23622047244094499" right="0" top="0" bottom="0" header="0" footer="0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Views>
    <sheetView workbookViewId="0">
      <selection activeCell="A6" sqref="A6"/>
    </sheetView>
  </sheetViews>
  <sheetFormatPr baseColWidth="10" defaultRowHeight="15"/>
  <cols>
    <col min="1" max="1" width="29.85546875" bestFit="1" customWidth="1"/>
    <col min="2" max="2" width="21.28515625" bestFit="1" customWidth="1"/>
    <col min="5" max="5" width="23.28515625" bestFit="1" customWidth="1"/>
    <col min="6" max="6" width="15.7109375" bestFit="1" customWidth="1"/>
    <col min="7" max="7" width="15.85546875" bestFit="1" customWidth="1"/>
  </cols>
  <sheetData>
    <row r="1" spans="1:7">
      <c r="A1" s="10" t="s">
        <v>857</v>
      </c>
      <c r="B1" t="s">
        <v>1076</v>
      </c>
    </row>
    <row r="2" spans="1:7">
      <c r="A2" s="16" t="s">
        <v>860</v>
      </c>
      <c r="B2" s="17">
        <v>26400</v>
      </c>
      <c r="E2" s="11"/>
      <c r="F2" s="14"/>
      <c r="G2" s="26"/>
    </row>
    <row r="3" spans="1:7">
      <c r="A3" s="11" t="s">
        <v>1072</v>
      </c>
      <c r="B3" s="14">
        <v>56250</v>
      </c>
      <c r="E3" s="11"/>
      <c r="F3" s="14"/>
      <c r="G3" s="26"/>
    </row>
    <row r="4" spans="1:7">
      <c r="A4" s="11" t="s">
        <v>861</v>
      </c>
      <c r="B4" s="14">
        <v>42000</v>
      </c>
      <c r="E4" s="27"/>
      <c r="F4" s="14"/>
      <c r="G4" s="26"/>
    </row>
    <row r="5" spans="1:7">
      <c r="A5" s="11" t="s">
        <v>1070</v>
      </c>
      <c r="B5" s="14">
        <v>50400</v>
      </c>
      <c r="E5" s="11"/>
      <c r="F5" s="14"/>
      <c r="G5" s="26"/>
    </row>
    <row r="6" spans="1:7">
      <c r="A6" s="11" t="s">
        <v>914</v>
      </c>
      <c r="B6" s="14">
        <v>35700</v>
      </c>
      <c r="E6" s="11"/>
      <c r="F6" s="14"/>
      <c r="G6" s="26"/>
    </row>
    <row r="7" spans="1:7">
      <c r="A7" s="11" t="s">
        <v>934</v>
      </c>
      <c r="B7" s="14">
        <v>44500</v>
      </c>
      <c r="E7" s="11"/>
      <c r="F7" s="14"/>
      <c r="G7" s="26"/>
    </row>
    <row r="8" spans="1:7">
      <c r="A8" s="16" t="s">
        <v>862</v>
      </c>
      <c r="B8" s="17">
        <v>28350</v>
      </c>
      <c r="E8" s="11"/>
      <c r="F8" s="14"/>
      <c r="G8" s="26"/>
    </row>
    <row r="9" spans="1:7">
      <c r="A9" s="16" t="s">
        <v>863</v>
      </c>
      <c r="B9" s="17">
        <v>27900</v>
      </c>
      <c r="E9" s="11"/>
      <c r="F9" s="14"/>
      <c r="G9" s="26"/>
    </row>
    <row r="10" spans="1:7">
      <c r="A10" s="11" t="s">
        <v>864</v>
      </c>
      <c r="B10" s="14">
        <v>32400</v>
      </c>
      <c r="E10" s="11"/>
      <c r="F10" s="14"/>
      <c r="G10" s="26"/>
    </row>
    <row r="11" spans="1:7">
      <c r="A11" s="16" t="s">
        <v>865</v>
      </c>
      <c r="B11" s="17">
        <v>38000</v>
      </c>
      <c r="E11" s="11"/>
      <c r="F11" s="14"/>
      <c r="G11" s="26"/>
    </row>
    <row r="12" spans="1:7">
      <c r="A12" s="11" t="s">
        <v>866</v>
      </c>
      <c r="B12" s="14">
        <v>37000</v>
      </c>
      <c r="E12" s="11"/>
      <c r="F12" s="14"/>
      <c r="G12" s="26"/>
    </row>
    <row r="13" spans="1:7">
      <c r="A13" s="11" t="s">
        <v>867</v>
      </c>
      <c r="B13" s="14">
        <v>43700</v>
      </c>
      <c r="E13" s="11"/>
      <c r="F13" s="14"/>
      <c r="G13" s="26"/>
    </row>
    <row r="14" spans="1:7">
      <c r="A14" s="16" t="s">
        <v>868</v>
      </c>
      <c r="B14" s="17">
        <v>38000</v>
      </c>
      <c r="E14" s="11"/>
      <c r="F14" s="14"/>
      <c r="G14" s="26"/>
    </row>
    <row r="15" spans="1:7">
      <c r="A15" s="11" t="s">
        <v>869</v>
      </c>
      <c r="B15" s="14">
        <v>42550</v>
      </c>
      <c r="E15" s="11"/>
      <c r="F15" s="14"/>
      <c r="G15" s="26"/>
    </row>
    <row r="16" spans="1:7">
      <c r="A16" s="11" t="s">
        <v>885</v>
      </c>
      <c r="B16" s="14">
        <v>35100</v>
      </c>
      <c r="E16" s="11"/>
      <c r="F16" s="14"/>
      <c r="G16" s="26"/>
    </row>
    <row r="17" spans="1:7">
      <c r="A17" s="11" t="s">
        <v>870</v>
      </c>
      <c r="B17" s="14">
        <v>35200</v>
      </c>
      <c r="E17" s="11"/>
      <c r="F17" s="14"/>
      <c r="G17" s="26"/>
    </row>
    <row r="18" spans="1:7">
      <c r="A18" s="11" t="s">
        <v>912</v>
      </c>
      <c r="B18" s="14">
        <v>26880</v>
      </c>
      <c r="E18" s="11"/>
      <c r="F18" s="14"/>
      <c r="G18" s="26"/>
    </row>
    <row r="19" spans="1:7">
      <c r="A19" s="11" t="s">
        <v>886</v>
      </c>
      <c r="B19" s="14">
        <v>25050</v>
      </c>
      <c r="E19" s="11"/>
      <c r="F19" s="14"/>
      <c r="G19" s="26"/>
    </row>
    <row r="20" spans="1:7">
      <c r="A20" s="11" t="s">
        <v>887</v>
      </c>
      <c r="B20" s="14">
        <v>34000</v>
      </c>
      <c r="E20" s="11"/>
      <c r="F20" s="14"/>
      <c r="G20" s="26"/>
    </row>
    <row r="21" spans="1:7">
      <c r="A21" s="11" t="s">
        <v>888</v>
      </c>
      <c r="B21" s="14">
        <v>33500</v>
      </c>
      <c r="E21" s="11"/>
      <c r="F21" s="14"/>
      <c r="G21" s="26"/>
    </row>
    <row r="22" spans="1:7">
      <c r="A22" s="11" t="s">
        <v>889</v>
      </c>
      <c r="B22" s="14">
        <v>29050</v>
      </c>
      <c r="E22" s="11"/>
      <c r="F22" s="14"/>
      <c r="G22" s="26"/>
    </row>
    <row r="23" spans="1:7">
      <c r="A23" s="11" t="s">
        <v>891</v>
      </c>
      <c r="B23" s="14">
        <v>29070</v>
      </c>
      <c r="E23" s="11"/>
      <c r="F23" s="14"/>
      <c r="G23" s="26"/>
    </row>
    <row r="24" spans="1:7">
      <c r="A24" s="11" t="s">
        <v>892</v>
      </c>
      <c r="B24" s="14">
        <v>28775</v>
      </c>
      <c r="E24" s="11"/>
      <c r="F24" s="14"/>
      <c r="G24" s="26"/>
    </row>
    <row r="25" spans="1:7">
      <c r="A25" s="11" t="s">
        <v>893</v>
      </c>
      <c r="B25" s="14">
        <v>26100</v>
      </c>
      <c r="E25" s="11"/>
      <c r="F25" s="14"/>
      <c r="G25" s="26"/>
    </row>
    <row r="26" spans="1:7">
      <c r="A26" s="11" t="s">
        <v>894</v>
      </c>
      <c r="B26" s="14">
        <v>24990</v>
      </c>
      <c r="E26" s="11"/>
      <c r="F26" s="14"/>
      <c r="G26" s="26"/>
    </row>
    <row r="27" spans="1:7">
      <c r="A27" s="11" t="s">
        <v>895</v>
      </c>
      <c r="B27" s="14">
        <v>27720</v>
      </c>
      <c r="E27" s="11"/>
      <c r="F27" s="14"/>
      <c r="G27" s="26"/>
    </row>
    <row r="28" spans="1:7">
      <c r="A28" s="11" t="s">
        <v>896</v>
      </c>
      <c r="B28" s="14">
        <v>28600</v>
      </c>
      <c r="E28" s="11"/>
      <c r="F28" s="14"/>
      <c r="G28" s="26"/>
    </row>
    <row r="29" spans="1:7">
      <c r="A29" s="11" t="s">
        <v>897</v>
      </c>
      <c r="B29" s="14">
        <v>25050</v>
      </c>
      <c r="E29" s="11"/>
      <c r="F29" s="14"/>
      <c r="G29" s="26"/>
    </row>
    <row r="30" spans="1:7">
      <c r="A30" s="11" t="s">
        <v>898</v>
      </c>
      <c r="B30" s="14">
        <v>29000</v>
      </c>
      <c r="E30" s="11"/>
      <c r="F30" s="14"/>
      <c r="G30" s="26"/>
    </row>
    <row r="31" spans="1:7">
      <c r="A31" s="16" t="s">
        <v>899</v>
      </c>
      <c r="B31" s="17">
        <v>26200</v>
      </c>
      <c r="E31" s="11"/>
      <c r="F31" s="14"/>
      <c r="G31" s="26"/>
    </row>
    <row r="32" spans="1:7">
      <c r="A32" s="16" t="s">
        <v>900</v>
      </c>
      <c r="B32" s="17">
        <v>30000</v>
      </c>
      <c r="E32" s="11"/>
      <c r="F32" s="14"/>
      <c r="G32" s="26"/>
    </row>
    <row r="33" spans="1:7">
      <c r="A33" s="16" t="s">
        <v>901</v>
      </c>
      <c r="B33" s="17">
        <v>32250</v>
      </c>
      <c r="E33" s="11"/>
      <c r="F33" s="14"/>
      <c r="G33" s="26"/>
    </row>
    <row r="34" spans="1:7">
      <c r="A34" s="16" t="s">
        <v>902</v>
      </c>
      <c r="B34" s="17">
        <v>36750</v>
      </c>
      <c r="E34" s="11"/>
      <c r="F34" s="14"/>
      <c r="G34" s="26"/>
    </row>
    <row r="35" spans="1:7">
      <c r="A35" s="11" t="s">
        <v>871</v>
      </c>
      <c r="B35" s="14">
        <v>33600</v>
      </c>
      <c r="E35" s="11"/>
      <c r="F35" s="14"/>
      <c r="G35" s="26"/>
    </row>
    <row r="36" spans="1:7">
      <c r="A36" s="11" t="s">
        <v>872</v>
      </c>
      <c r="B36" s="14">
        <v>34500</v>
      </c>
      <c r="E36" s="11"/>
      <c r="F36" s="14"/>
      <c r="G36" s="26"/>
    </row>
    <row r="37" spans="1:7">
      <c r="A37" s="11" t="s">
        <v>974</v>
      </c>
      <c r="B37" s="14">
        <v>37500</v>
      </c>
      <c r="E37" s="11"/>
      <c r="F37" s="14"/>
      <c r="G37" s="26"/>
    </row>
    <row r="38" spans="1:7">
      <c r="A38" s="11" t="s">
        <v>873</v>
      </c>
      <c r="B38" s="14">
        <v>39900</v>
      </c>
      <c r="E38" s="11"/>
      <c r="F38" s="14"/>
      <c r="G38" s="26"/>
    </row>
    <row r="39" spans="1:7">
      <c r="A39" s="16" t="s">
        <v>874</v>
      </c>
      <c r="B39" s="17">
        <v>18750</v>
      </c>
      <c r="E39" s="11"/>
      <c r="F39" s="14"/>
      <c r="G39" s="26"/>
    </row>
    <row r="40" spans="1:7">
      <c r="A40" s="11" t="s">
        <v>875</v>
      </c>
      <c r="B40" s="14">
        <v>28750</v>
      </c>
      <c r="E40" s="11"/>
      <c r="F40" s="14"/>
      <c r="G40" s="26"/>
    </row>
    <row r="41" spans="1:7">
      <c r="A41" s="11" t="s">
        <v>903</v>
      </c>
      <c r="B41" s="14">
        <v>42000</v>
      </c>
      <c r="E41" s="11"/>
      <c r="F41" s="14"/>
      <c r="G41" s="26"/>
    </row>
    <row r="42" spans="1:7">
      <c r="A42" s="16" t="s">
        <v>876</v>
      </c>
      <c r="B42" s="17">
        <v>36800</v>
      </c>
      <c r="E42" s="11"/>
      <c r="F42" s="14"/>
      <c r="G42" s="26"/>
    </row>
    <row r="43" spans="1:7">
      <c r="A43" s="11" t="s">
        <v>913</v>
      </c>
      <c r="B43" s="14">
        <v>31800</v>
      </c>
      <c r="E43" s="11"/>
      <c r="F43" s="14"/>
      <c r="G43" s="26"/>
    </row>
    <row r="44" spans="1:7">
      <c r="A44" s="11" t="s">
        <v>904</v>
      </c>
      <c r="B44" s="14">
        <v>29750</v>
      </c>
      <c r="E44" s="11"/>
      <c r="F44" s="14"/>
      <c r="G44" s="26"/>
    </row>
    <row r="45" spans="1:7">
      <c r="A45" s="11" t="s">
        <v>877</v>
      </c>
      <c r="B45" s="14">
        <v>52800</v>
      </c>
      <c r="E45" s="11"/>
      <c r="F45" s="14"/>
      <c r="G45" s="26"/>
    </row>
    <row r="46" spans="1:7">
      <c r="A46" s="11" t="s">
        <v>905</v>
      </c>
      <c r="B46" s="14">
        <v>42240</v>
      </c>
      <c r="E46" s="11"/>
      <c r="F46" s="14"/>
      <c r="G46" s="26"/>
    </row>
    <row r="47" spans="1:7">
      <c r="A47" s="11" t="s">
        <v>906</v>
      </c>
      <c r="B47" s="14">
        <v>42240</v>
      </c>
      <c r="E47" s="11"/>
      <c r="F47" s="14"/>
      <c r="G47" s="26"/>
    </row>
    <row r="48" spans="1:7">
      <c r="A48" s="11" t="s">
        <v>987</v>
      </c>
      <c r="B48" s="14">
        <v>87500</v>
      </c>
      <c r="E48" s="11"/>
      <c r="F48" s="14"/>
      <c r="G48" s="26"/>
    </row>
    <row r="49" spans="1:7">
      <c r="A49" s="11" t="s">
        <v>878</v>
      </c>
      <c r="B49" s="14">
        <v>42050</v>
      </c>
      <c r="E49" s="11"/>
      <c r="F49" s="14"/>
      <c r="G49" s="26"/>
    </row>
    <row r="50" spans="1:7">
      <c r="A50" s="16" t="s">
        <v>907</v>
      </c>
      <c r="B50" s="17">
        <v>31200</v>
      </c>
      <c r="E50" s="11"/>
      <c r="F50" s="14"/>
      <c r="G50" s="26"/>
    </row>
    <row r="51" spans="1:7">
      <c r="A51" s="11" t="s">
        <v>908</v>
      </c>
      <c r="B51" s="14">
        <v>44100</v>
      </c>
      <c r="E51" s="11"/>
      <c r="F51" s="14"/>
      <c r="G51" s="26"/>
    </row>
    <row r="52" spans="1:7">
      <c r="A52" s="11" t="s">
        <v>1074</v>
      </c>
      <c r="B52" s="14">
        <v>61200</v>
      </c>
      <c r="E52" s="11"/>
      <c r="F52" s="14"/>
      <c r="G52" s="26"/>
    </row>
    <row r="53" spans="1:7">
      <c r="A53" s="11" t="s">
        <v>879</v>
      </c>
      <c r="B53" s="14">
        <v>22900</v>
      </c>
      <c r="E53" s="11"/>
      <c r="F53" s="14"/>
      <c r="G53" s="26"/>
    </row>
    <row r="54" spans="1:7">
      <c r="A54" s="11" t="s">
        <v>1069</v>
      </c>
      <c r="B54" s="14">
        <v>33500</v>
      </c>
      <c r="E54" s="11"/>
      <c r="F54" s="14"/>
      <c r="G54" s="26"/>
    </row>
    <row r="55" spans="1:7">
      <c r="A55" s="11" t="s">
        <v>880</v>
      </c>
      <c r="B55" s="14">
        <v>40250</v>
      </c>
    </row>
    <row r="56" spans="1:7">
      <c r="A56" s="18" t="s">
        <v>909</v>
      </c>
      <c r="B56" s="19">
        <v>28800</v>
      </c>
    </row>
    <row r="57" spans="1:7">
      <c r="A57" s="11" t="s">
        <v>910</v>
      </c>
      <c r="B57" s="14">
        <v>28150</v>
      </c>
    </row>
    <row r="58" spans="1:7">
      <c r="A58" s="11" t="s">
        <v>883</v>
      </c>
      <c r="B58" s="14">
        <v>26325</v>
      </c>
    </row>
    <row r="59" spans="1:7">
      <c r="A59" s="11" t="s">
        <v>884</v>
      </c>
      <c r="B59" s="14">
        <v>32400</v>
      </c>
    </row>
    <row r="60" spans="1:7">
      <c r="A60" s="11" t="s">
        <v>911</v>
      </c>
      <c r="B60" s="14">
        <v>35100</v>
      </c>
    </row>
    <row r="61" spans="1:7">
      <c r="A61" s="11" t="s">
        <v>916</v>
      </c>
      <c r="B61" s="12"/>
    </row>
    <row r="62" spans="1:7">
      <c r="A62" s="11" t="s">
        <v>917</v>
      </c>
      <c r="B62" s="12">
        <v>87500</v>
      </c>
    </row>
  </sheetData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TABLA</vt:lpstr>
      <vt:lpstr>GRAMAJE</vt:lpstr>
      <vt:lpstr>INVENTARIO T5</vt:lpstr>
      <vt:lpstr>Hoja2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TIENDA5</dc:creator>
  <cp:lastModifiedBy>TELAS REAL</cp:lastModifiedBy>
  <cp:lastPrinted>2025-12-27T13:29:36Z</cp:lastPrinted>
  <dcterms:created xsi:type="dcterms:W3CDTF">2025-12-26T20:46:01Z</dcterms:created>
  <dcterms:modified xsi:type="dcterms:W3CDTF">2025-12-29T13:31:02Z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